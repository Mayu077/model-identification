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b39be016ca4937d/Desktop/Rajeshri Enterprises 2026-27/"/>
    </mc:Choice>
  </mc:AlternateContent>
  <xr:revisionPtr revIDLastSave="318" documentId="13_ncr:1_{C59B35F1-33EC-4EED-AEED-305107FA874F}" xr6:coauthVersionLast="47" xr6:coauthVersionMax="47" xr10:uidLastSave="{4D8660F1-BE2C-4D52-AFE8-F34369B2CD51}"/>
  <bookViews>
    <workbookView xWindow="11424" yWindow="0" windowWidth="11712" windowHeight="12336" activeTab="1" xr2:uid="{00000000-000D-0000-FFFF-FFFF00000000}"/>
  </bookViews>
  <sheets>
    <sheet name="MAY" sheetId="1" r:id="rId1"/>
    <sheet name="JU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2" l="1"/>
  <c r="O59" i="2"/>
  <c r="O48" i="2"/>
  <c r="O65" i="2"/>
  <c r="O24" i="2"/>
  <c r="O19" i="2"/>
  <c r="O9" i="2"/>
  <c r="G35" i="2"/>
  <c r="G66" i="2"/>
  <c r="G41" i="2"/>
  <c r="G30" i="2"/>
  <c r="G60" i="2"/>
  <c r="G12" i="2"/>
  <c r="R61" i="1"/>
  <c r="R37" i="1"/>
  <c r="R17" i="1"/>
  <c r="G12" i="1"/>
  <c r="G30" i="1"/>
  <c r="G17" i="1"/>
</calcChain>
</file>

<file path=xl/sharedStrings.xml><?xml version="1.0" encoding="utf-8"?>
<sst xmlns="http://schemas.openxmlformats.org/spreadsheetml/2006/main" count="757" uniqueCount="242">
  <si>
    <t>SR.</t>
  </si>
  <si>
    <t>DATE</t>
  </si>
  <si>
    <t>CONTAINER NO.</t>
  </si>
  <si>
    <t>SIZE / TYPE</t>
  </si>
  <si>
    <t>FROM</t>
  </si>
  <si>
    <t>TO</t>
  </si>
  <si>
    <t xml:space="preserve">AMOUNT </t>
  </si>
  <si>
    <t>10-05-2026</t>
  </si>
  <si>
    <t>DFSU7533469</t>
  </si>
  <si>
    <t>40ft Load</t>
  </si>
  <si>
    <t>JWC</t>
  </si>
  <si>
    <t>11-05-2026</t>
  </si>
  <si>
    <t>TGBU6279412</t>
  </si>
  <si>
    <t>BMOU3113506</t>
  </si>
  <si>
    <t>GTI</t>
  </si>
  <si>
    <t>ONEU5573402</t>
  </si>
  <si>
    <t>TRLU6898851</t>
  </si>
  <si>
    <t>BMCT</t>
  </si>
  <si>
    <t>12-05-2026</t>
  </si>
  <si>
    <t>TXGU7968002</t>
  </si>
  <si>
    <t>NIDU5191683</t>
  </si>
  <si>
    <t>JWR</t>
  </si>
  <si>
    <t>13-05-2026</t>
  </si>
  <si>
    <t>CAIU9671212</t>
  </si>
  <si>
    <t>HAMU3274020</t>
  </si>
  <si>
    <t>REGU5143044</t>
  </si>
  <si>
    <t>14-05-2026</t>
  </si>
  <si>
    <t>HLBU1053313</t>
  </si>
  <si>
    <t>FANU3643075</t>
  </si>
  <si>
    <t>BSIU9645775</t>
  </si>
  <si>
    <t>FFAU4022464</t>
  </si>
  <si>
    <t>15-05-2026</t>
  </si>
  <si>
    <t>HLBU1401960</t>
  </si>
  <si>
    <t>EXPORT</t>
  </si>
  <si>
    <t>IMPORT</t>
  </si>
  <si>
    <t>TRHU4953951</t>
  </si>
  <si>
    <t>TCLU9585337</t>
  </si>
  <si>
    <t>ONEU5672848</t>
  </si>
  <si>
    <t>NSFT</t>
  </si>
  <si>
    <t>NSICT</t>
  </si>
  <si>
    <t>RATE</t>
  </si>
  <si>
    <t>10-05-26 to 15-05-26</t>
  </si>
  <si>
    <t>16-05-26 to 31-05-26</t>
  </si>
  <si>
    <t>FANU1530399</t>
  </si>
  <si>
    <t>16-5-26</t>
  </si>
  <si>
    <t>REGU5154157</t>
  </si>
  <si>
    <t>HLXU8605216</t>
  </si>
  <si>
    <t>CMAU3579098</t>
  </si>
  <si>
    <t>TEMU8390430</t>
  </si>
  <si>
    <t>HAMU1268712</t>
  </si>
  <si>
    <t>AKKU4037637</t>
  </si>
  <si>
    <t>ZCSU6704901</t>
  </si>
  <si>
    <t>GCXU5409381</t>
  </si>
  <si>
    <t>CSGU6566871</t>
  </si>
  <si>
    <t>TRKU4496630</t>
  </si>
  <si>
    <t>TGBU6771340</t>
  </si>
  <si>
    <t>ECMU7146062</t>
  </si>
  <si>
    <t>HAMU1469996</t>
  </si>
  <si>
    <t>BMOU6710850</t>
  </si>
  <si>
    <t>JNPT</t>
  </si>
  <si>
    <t>16-05-2026</t>
  </si>
  <si>
    <t>17-05-2026</t>
  </si>
  <si>
    <t>EMCU8964090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</si>
  <si>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</si>
  <si>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</si>
  <si>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</si>
  <si>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</si>
  <si>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</si>
  <si>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</si>
  <si>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</si>
  <si>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</si>
  <si>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TLLU4686153</t>
  </si>
  <si>
    <t>17-5-26</t>
  </si>
  <si>
    <t>FFAU6412230</t>
  </si>
  <si>
    <t>CMAU4601489</t>
  </si>
  <si>
    <t>18-5-26</t>
  </si>
  <si>
    <t>CMAU8675730</t>
  </si>
  <si>
    <t>19-5-26</t>
  </si>
  <si>
    <t>KKTU8103142</t>
  </si>
  <si>
    <t>SUDU7980890</t>
  </si>
  <si>
    <t>HAMU3533060</t>
  </si>
  <si>
    <t>20-5-26</t>
  </si>
  <si>
    <t>HLBU3633630</t>
  </si>
  <si>
    <t>BMOU1400404</t>
  </si>
  <si>
    <t>21-5-26</t>
  </si>
  <si>
    <t>CAIU3268977</t>
  </si>
  <si>
    <t>CSGU2030221</t>
  </si>
  <si>
    <t>22-5-26</t>
  </si>
  <si>
    <t>LTRU2204056</t>
  </si>
  <si>
    <t>MODU2131321</t>
  </si>
  <si>
    <t>CAIU4377400</t>
  </si>
  <si>
    <t>23-5-26</t>
  </si>
  <si>
    <t>TGBU3223894</t>
  </si>
  <si>
    <t>SEGU2765472</t>
  </si>
  <si>
    <t>24-5-26</t>
  </si>
  <si>
    <t>MAGU5598121</t>
  </si>
  <si>
    <t>25-5-26</t>
  </si>
  <si>
    <t>OTPU6540291</t>
  </si>
  <si>
    <t>MSDU1929417</t>
  </si>
  <si>
    <t>26-5-26</t>
  </si>
  <si>
    <t>MRSU4187160</t>
  </si>
  <si>
    <t>28-5-26</t>
  </si>
  <si>
    <t>TIIU2216400</t>
  </si>
  <si>
    <t>FCIU5562000</t>
  </si>
  <si>
    <t>OOLU8960052</t>
  </si>
  <si>
    <t>29-5-26</t>
  </si>
  <si>
    <t>TLLU7825144</t>
  </si>
  <si>
    <t>30-5-26</t>
  </si>
  <si>
    <t>TCLU2942772</t>
  </si>
  <si>
    <t>FTAU2296627</t>
  </si>
  <si>
    <t>CAAU7982399</t>
  </si>
  <si>
    <t>ONEU6483577</t>
  </si>
  <si>
    <t>31-5-26</t>
  </si>
  <si>
    <t>FFAU6914752</t>
  </si>
  <si>
    <t>ESDU7065242</t>
  </si>
  <si>
    <t>ARKU2328978</t>
  </si>
  <si>
    <t>26-05-2026</t>
  </si>
  <si>
    <t>27-05-2026</t>
  </si>
  <si>
    <t>28-05-2026</t>
  </si>
  <si>
    <t>29-05-2026</t>
  </si>
  <si>
    <t>30-05-2026</t>
  </si>
  <si>
    <t>31-05-2026</t>
  </si>
  <si>
    <t>GAOU6634981</t>
  </si>
  <si>
    <t>CAIU4215230</t>
  </si>
  <si>
    <t>1-06-2026 to 15-06-2026</t>
  </si>
  <si>
    <t>FFAU6669603</t>
  </si>
  <si>
    <t>EMAU8238857</t>
  </si>
  <si>
    <t>CMAU3154431</t>
  </si>
  <si>
    <t>GCXU2398473</t>
  </si>
  <si>
    <t>OOLU4305690</t>
  </si>
  <si>
    <t>HLXU1008498</t>
  </si>
  <si>
    <t>GCXU2354747</t>
  </si>
  <si>
    <t>CIPU5135583</t>
  </si>
  <si>
    <t>CAAU2279866</t>
  </si>
  <si>
    <t>MSMU3545124</t>
  </si>
  <si>
    <t>TTNU8461938</t>
  </si>
  <si>
    <t>HAMU1009265</t>
  </si>
  <si>
    <t>MSNU9230787</t>
  </si>
  <si>
    <t>UACU3977725</t>
  </si>
  <si>
    <t>SEGU4850038</t>
  </si>
  <si>
    <t>IAAU1826305</t>
  </si>
  <si>
    <t>FBIU0463657</t>
  </si>
  <si>
    <t>GCXU2333512</t>
  </si>
  <si>
    <t>CMAU9479497</t>
  </si>
  <si>
    <t>CAAU9237477</t>
  </si>
  <si>
    <t>MRKU3536140</t>
  </si>
  <si>
    <t>SKLU1314878</t>
  </si>
  <si>
    <t>TCLU5875050</t>
  </si>
  <si>
    <t>MSDU6397723</t>
  </si>
  <si>
    <t>SEGU5991880</t>
  </si>
  <si>
    <t>TCNU7745623</t>
  </si>
  <si>
    <t>SEGU9702943</t>
  </si>
  <si>
    <t>MSMU6370903</t>
  </si>
  <si>
    <t>DPWU9088530</t>
  </si>
  <si>
    <t>EGUH9790228</t>
  </si>
  <si>
    <t>HLBU2997175</t>
  </si>
  <si>
    <t>GLDU9540762</t>
  </si>
  <si>
    <t>HAMU3768023</t>
  </si>
  <si>
    <t>MRSU7239420</t>
  </si>
  <si>
    <t>SKLU0591081</t>
  </si>
  <si>
    <t>13/06/2026</t>
  </si>
  <si>
    <t>NSIGT</t>
  </si>
  <si>
    <t>14/06/2026</t>
  </si>
  <si>
    <t>ECNU2314871</t>
  </si>
  <si>
    <t>ECNU2251449</t>
  </si>
  <si>
    <t>HAMU3694825</t>
  </si>
  <si>
    <t>TRHU8125488</t>
  </si>
  <si>
    <t>FFAU4694108</t>
  </si>
  <si>
    <t>WHSU4008330</t>
  </si>
  <si>
    <t>JWR IMPORT</t>
  </si>
  <si>
    <t>JWC IMPORT</t>
  </si>
  <si>
    <t>15/06/2026</t>
  </si>
  <si>
    <t>JWR EXPORT</t>
  </si>
  <si>
    <t>JWR  EXPORT</t>
  </si>
  <si>
    <t>JWC EXPORT</t>
  </si>
  <si>
    <t>MRSU9403831</t>
  </si>
  <si>
    <t>HLXU5387487</t>
  </si>
  <si>
    <t>OOCU6123235</t>
  </si>
  <si>
    <t>TCNU2397280</t>
  </si>
  <si>
    <t>OOCU8644886</t>
  </si>
  <si>
    <t>TEMU0770990</t>
  </si>
  <si>
    <t>GAOU6380470</t>
  </si>
  <si>
    <t>TRHU3978702</t>
  </si>
  <si>
    <t>ONEU1353077</t>
  </si>
  <si>
    <t>WHSU6115960</t>
  </si>
  <si>
    <t>TWIU4868432</t>
  </si>
  <si>
    <t>MRKU7600588</t>
  </si>
  <si>
    <t>FFAU2113987</t>
  </si>
  <si>
    <t>CRXU3457088</t>
  </si>
  <si>
    <t>HALU2025293</t>
  </si>
  <si>
    <t>CAAU9424673</t>
  </si>
  <si>
    <t>KCSU3071379</t>
  </si>
  <si>
    <t>MAGU2165046</t>
  </si>
  <si>
    <t>FDCU0501379</t>
  </si>
  <si>
    <t>SUDU9804971</t>
  </si>
  <si>
    <t>MSBU2695620</t>
  </si>
  <si>
    <t>FCGU2327910</t>
  </si>
  <si>
    <t>TLHU0226573</t>
  </si>
  <si>
    <t>TCNU2613054</t>
  </si>
  <si>
    <t>MRKU2712477</t>
  </si>
  <si>
    <t>MIOU2988980</t>
  </si>
  <si>
    <t>MIOU2550951</t>
  </si>
  <si>
    <t>JNB</t>
  </si>
  <si>
    <t>TXGU7471150</t>
  </si>
  <si>
    <t>TCKU3715035</t>
  </si>
  <si>
    <t>TCKU2012104</t>
  </si>
  <si>
    <t>CAIU6174737</t>
  </si>
  <si>
    <t>TRHU2316928</t>
  </si>
  <si>
    <t>ONEU2226966</t>
  </si>
  <si>
    <t>KOCU5131653</t>
  </si>
  <si>
    <t>17/06/2026</t>
  </si>
  <si>
    <t>16/06/2026</t>
  </si>
  <si>
    <t xml:space="preserve">NSIGT </t>
  </si>
  <si>
    <t>20/06/2026</t>
  </si>
  <si>
    <t>21/06/2026</t>
  </si>
  <si>
    <t>23/06/2026</t>
  </si>
  <si>
    <t>24/06/2026</t>
  </si>
  <si>
    <t>25/06/2026</t>
  </si>
  <si>
    <t>26/06/2026</t>
  </si>
  <si>
    <t>27/06/2026</t>
  </si>
  <si>
    <t>SKHU9554310</t>
  </si>
  <si>
    <t>ECNU2287251</t>
  </si>
  <si>
    <t>TRHU2530267</t>
  </si>
  <si>
    <t>DFSU2239913</t>
  </si>
  <si>
    <t>MRSU6278910</t>
  </si>
  <si>
    <t>GCUU3200150</t>
  </si>
  <si>
    <t>HAMU5088730</t>
  </si>
  <si>
    <t>IAAU2792494</t>
  </si>
  <si>
    <t>DEAU2691383</t>
  </si>
  <si>
    <t>HMMU6509016</t>
  </si>
  <si>
    <t>EMCU6469760</t>
  </si>
  <si>
    <t>TIIU6674709</t>
  </si>
  <si>
    <t>KTKU1002574</t>
  </si>
  <si>
    <t>28/06/2026</t>
  </si>
  <si>
    <t>29/06/2026</t>
  </si>
  <si>
    <t>30/06/2026</t>
  </si>
  <si>
    <t>TCLU2996737</t>
  </si>
  <si>
    <t>BSIU2915919</t>
  </si>
  <si>
    <t>IAAU2926865</t>
  </si>
  <si>
    <t>16-06-2026 to 30-06-2026</t>
  </si>
  <si>
    <t>18/06/2026</t>
  </si>
  <si>
    <t>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</si>
</sst>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6" fillId="0" borderId="1" xfId="0" applyNumberFormat="1" applyFont="1" applyBorder="1"/>
    <xf numFmtId="164" fontId="6" fillId="0" borderId="1" xfId="1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4" fontId="2" fillId="3" borderId="0" xfId="0" applyNumberFormat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7" xfId="0" applyNumberForma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1" fontId="10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/>
    <xf numFmtId="0" fontId="11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41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/>
    </xf>
    <xf numFmtId="41" fontId="14" fillId="0" borderId="1" xfId="0" applyNumberFormat="1" applyFont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zoomScale="29" zoomScaleNormal="100" workbookViewId="0">
      <selection activeCell="G41" sqref="G41"/>
    </sheetView>
  </sheetViews>
  <sheetFormatPr defaultRowHeight="14.4" x14ac:dyDescent="0.3"/>
  <cols>
    <col min="2" max="2" width="11.21875" bestFit="1" customWidth="1"/>
    <col min="3" max="3" width="16.21875" bestFit="1" customWidth="1"/>
    <col min="4" max="4" width="11.44140625" bestFit="1" customWidth="1"/>
    <col min="7" max="7" width="10.44140625" bestFit="1" customWidth="1"/>
    <col min="8" max="8" width="10.33203125" hidden="1" customWidth="1"/>
    <col min="11" max="11" width="11.21875" bestFit="1" customWidth="1"/>
    <col min="12" max="13" width="16.21875" bestFit="1" customWidth="1"/>
    <col min="14" max="14" width="11.44140625" bestFit="1" customWidth="1"/>
    <col min="16" max="16" width="10.33203125" hidden="1" customWidth="1"/>
    <col min="18" max="18" width="11.6640625" bestFit="1" customWidth="1"/>
    <col min="21" max="21" width="14.109375" bestFit="1" customWidth="1"/>
    <col min="27" max="27" width="13.6640625" bestFit="1" customWidth="1"/>
  </cols>
  <sheetData>
    <row r="1" spans="1:18" x14ac:dyDescent="0.3">
      <c r="A1" s="55" t="s">
        <v>41</v>
      </c>
      <c r="B1" s="55"/>
      <c r="C1" s="55"/>
      <c r="D1" s="55"/>
      <c r="E1" s="55"/>
      <c r="F1" s="55"/>
      <c r="G1" s="55"/>
      <c r="K1" s="56" t="s">
        <v>42</v>
      </c>
      <c r="L1" s="56"/>
      <c r="M1" s="56"/>
      <c r="N1" s="56"/>
      <c r="O1" s="56"/>
      <c r="P1" s="56"/>
      <c r="Q1" s="56"/>
    </row>
    <row r="2" spans="1:18" ht="21" x14ac:dyDescent="0.4">
      <c r="A2" s="57" t="s">
        <v>33</v>
      </c>
      <c r="B2" s="58"/>
      <c r="C2" s="58"/>
      <c r="D2" s="58"/>
      <c r="E2" s="58"/>
      <c r="F2" s="58"/>
      <c r="G2" s="59"/>
      <c r="H2" s="9"/>
      <c r="K2" s="53" t="s">
        <v>33</v>
      </c>
      <c r="L2" s="53"/>
      <c r="M2" s="53"/>
      <c r="N2" s="53"/>
      <c r="O2" s="53"/>
      <c r="P2" s="53"/>
      <c r="Q2" s="53"/>
      <c r="R2" s="53"/>
    </row>
    <row r="3" spans="1:18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40</v>
      </c>
      <c r="H3" s="2" t="s">
        <v>6</v>
      </c>
      <c r="K3" s="15" t="s">
        <v>0</v>
      </c>
      <c r="L3" s="15" t="s">
        <v>1</v>
      </c>
      <c r="M3" s="15" t="s">
        <v>2</v>
      </c>
      <c r="N3" s="15" t="s">
        <v>3</v>
      </c>
      <c r="O3" s="15" t="s">
        <v>4</v>
      </c>
      <c r="P3" s="15" t="s">
        <v>5</v>
      </c>
      <c r="Q3" s="15" t="s">
        <v>5</v>
      </c>
      <c r="R3" s="1" t="s">
        <v>40</v>
      </c>
    </row>
    <row r="4" spans="1:18" ht="15.6" x14ac:dyDescent="0.3">
      <c r="A4" s="3">
        <v>1</v>
      </c>
      <c r="B4" s="3" t="s">
        <v>7</v>
      </c>
      <c r="C4" s="7" t="s">
        <v>8</v>
      </c>
      <c r="D4" s="3" t="s">
        <v>9</v>
      </c>
      <c r="E4" s="3" t="s">
        <v>10</v>
      </c>
      <c r="F4" s="3" t="s">
        <v>39</v>
      </c>
      <c r="G4" s="11">
        <v>3500</v>
      </c>
      <c r="H4" s="4">
        <v>3500</v>
      </c>
      <c r="K4" s="19">
        <v>1</v>
      </c>
      <c r="L4" s="14" t="s">
        <v>44</v>
      </c>
      <c r="M4" s="19" t="s">
        <v>43</v>
      </c>
      <c r="N4" s="19">
        <v>40</v>
      </c>
      <c r="O4" s="19" t="s">
        <v>10</v>
      </c>
      <c r="P4" s="4">
        <v>3500</v>
      </c>
      <c r="Q4" s="19" t="s">
        <v>14</v>
      </c>
      <c r="R4" s="21">
        <v>3500</v>
      </c>
    </row>
    <row r="5" spans="1:18" ht="15.6" x14ac:dyDescent="0.3">
      <c r="A5" s="3">
        <v>2</v>
      </c>
      <c r="B5" s="3" t="s">
        <v>11</v>
      </c>
      <c r="C5" s="7" t="s">
        <v>13</v>
      </c>
      <c r="D5" s="3" t="s">
        <v>9</v>
      </c>
      <c r="E5" s="3" t="s">
        <v>10</v>
      </c>
      <c r="F5" s="3" t="s">
        <v>14</v>
      </c>
      <c r="G5" s="11">
        <v>3500</v>
      </c>
      <c r="H5" s="4">
        <v>3500</v>
      </c>
      <c r="K5" s="19">
        <v>2</v>
      </c>
      <c r="L5" s="14" t="s">
        <v>44</v>
      </c>
      <c r="M5" s="19" t="s">
        <v>71</v>
      </c>
      <c r="N5" s="19">
        <v>40</v>
      </c>
      <c r="O5" s="19" t="s">
        <v>10</v>
      </c>
      <c r="P5" s="4">
        <v>3500</v>
      </c>
      <c r="Q5" s="19" t="s">
        <v>14</v>
      </c>
      <c r="R5" s="21">
        <v>3500</v>
      </c>
    </row>
    <row r="6" spans="1:18" ht="15.6" x14ac:dyDescent="0.3">
      <c r="A6" s="3">
        <v>3</v>
      </c>
      <c r="B6" s="3" t="s">
        <v>11</v>
      </c>
      <c r="C6" s="7" t="s">
        <v>16</v>
      </c>
      <c r="D6" s="3" t="s">
        <v>9</v>
      </c>
      <c r="E6" s="3" t="s">
        <v>10</v>
      </c>
      <c r="F6" s="3" t="s">
        <v>17</v>
      </c>
      <c r="G6" s="11">
        <v>3500</v>
      </c>
      <c r="H6" s="4">
        <v>3500</v>
      </c>
      <c r="K6" s="19">
        <v>3</v>
      </c>
      <c r="L6" s="14" t="s">
        <v>72</v>
      </c>
      <c r="M6" s="19" t="s">
        <v>73</v>
      </c>
      <c r="N6" s="19">
        <v>40</v>
      </c>
      <c r="O6" s="19" t="s">
        <v>10</v>
      </c>
      <c r="P6" s="4">
        <v>3500</v>
      </c>
      <c r="Q6" s="19" t="s">
        <v>17</v>
      </c>
      <c r="R6" s="21">
        <v>3500</v>
      </c>
    </row>
    <row r="7" spans="1:18" ht="15.6" x14ac:dyDescent="0.3">
      <c r="A7" s="3">
        <v>4</v>
      </c>
      <c r="B7" s="3" t="s">
        <v>22</v>
      </c>
      <c r="C7" s="7" t="s">
        <v>24</v>
      </c>
      <c r="D7" s="3" t="s">
        <v>9</v>
      </c>
      <c r="E7" s="3" t="s">
        <v>10</v>
      </c>
      <c r="F7" s="3" t="s">
        <v>39</v>
      </c>
      <c r="G7" s="11">
        <v>3500</v>
      </c>
      <c r="H7" s="4">
        <v>2700</v>
      </c>
      <c r="K7" s="19">
        <v>4</v>
      </c>
      <c r="L7" s="14" t="s">
        <v>72</v>
      </c>
      <c r="M7" s="19" t="s">
        <v>74</v>
      </c>
      <c r="N7" s="19">
        <v>40</v>
      </c>
      <c r="O7" s="19" t="s">
        <v>10</v>
      </c>
      <c r="P7" s="4">
        <v>3500</v>
      </c>
      <c r="Q7" s="19" t="s">
        <v>59</v>
      </c>
      <c r="R7" s="21">
        <v>3500</v>
      </c>
    </row>
    <row r="8" spans="1:18" ht="15.6" x14ac:dyDescent="0.3">
      <c r="A8" s="3">
        <v>5</v>
      </c>
      <c r="B8" s="3" t="s">
        <v>26</v>
      </c>
      <c r="C8" s="7" t="s">
        <v>27</v>
      </c>
      <c r="D8" s="3" t="s">
        <v>9</v>
      </c>
      <c r="E8" s="3" t="s">
        <v>10</v>
      </c>
      <c r="F8" s="3" t="s">
        <v>14</v>
      </c>
      <c r="G8" s="11">
        <v>3500</v>
      </c>
      <c r="H8" s="4">
        <v>3500</v>
      </c>
      <c r="K8" s="19">
        <v>5</v>
      </c>
      <c r="L8" s="14" t="s">
        <v>75</v>
      </c>
      <c r="M8" s="19" t="s">
        <v>76</v>
      </c>
      <c r="N8" s="19">
        <v>40</v>
      </c>
      <c r="O8" s="19" t="s">
        <v>10</v>
      </c>
      <c r="P8" s="4">
        <v>3500</v>
      </c>
      <c r="Q8" s="19" t="s">
        <v>59</v>
      </c>
      <c r="R8" s="21">
        <v>3500</v>
      </c>
    </row>
    <row r="9" spans="1:18" ht="15.6" x14ac:dyDescent="0.3">
      <c r="A9" s="3">
        <v>6</v>
      </c>
      <c r="B9" s="3" t="s">
        <v>26</v>
      </c>
      <c r="C9" s="7" t="s">
        <v>29</v>
      </c>
      <c r="D9" s="3" t="s">
        <v>9</v>
      </c>
      <c r="E9" s="3" t="s">
        <v>10</v>
      </c>
      <c r="F9" s="3" t="s">
        <v>14</v>
      </c>
      <c r="G9" s="11">
        <v>3500</v>
      </c>
      <c r="H9" s="4">
        <v>3500</v>
      </c>
      <c r="K9" s="19">
        <v>6</v>
      </c>
      <c r="L9" s="14" t="s">
        <v>77</v>
      </c>
      <c r="M9" s="19" t="s">
        <v>123</v>
      </c>
      <c r="N9" s="19">
        <v>40</v>
      </c>
      <c r="O9" s="19" t="s">
        <v>10</v>
      </c>
      <c r="P9" s="18"/>
      <c r="Q9" s="19" t="s">
        <v>14</v>
      </c>
      <c r="R9" s="21">
        <v>3500</v>
      </c>
    </row>
    <row r="10" spans="1:18" ht="15.6" x14ac:dyDescent="0.3">
      <c r="A10" s="3">
        <v>7</v>
      </c>
      <c r="B10" s="3" t="s">
        <v>31</v>
      </c>
      <c r="C10" s="7" t="s">
        <v>32</v>
      </c>
      <c r="D10" s="3" t="s">
        <v>9</v>
      </c>
      <c r="E10" s="3" t="s">
        <v>10</v>
      </c>
      <c r="F10" s="3" t="s">
        <v>14</v>
      </c>
      <c r="G10" s="11">
        <v>3500</v>
      </c>
      <c r="H10" s="4">
        <v>3500</v>
      </c>
      <c r="K10" s="19">
        <v>7</v>
      </c>
      <c r="L10" s="14" t="s">
        <v>87</v>
      </c>
      <c r="M10" s="19" t="s">
        <v>90</v>
      </c>
      <c r="N10" s="19">
        <v>40</v>
      </c>
      <c r="O10" s="19" t="s">
        <v>10</v>
      </c>
      <c r="Q10" s="19" t="s">
        <v>14</v>
      </c>
      <c r="R10" s="21">
        <v>3500</v>
      </c>
    </row>
    <row r="11" spans="1:18" ht="15.6" x14ac:dyDescent="0.3">
      <c r="A11" s="3">
        <v>8</v>
      </c>
      <c r="B11" s="3" t="s">
        <v>31</v>
      </c>
      <c r="C11" s="7" t="s">
        <v>35</v>
      </c>
      <c r="D11" s="3" t="s">
        <v>9</v>
      </c>
      <c r="E11" s="3" t="s">
        <v>10</v>
      </c>
      <c r="F11" s="3" t="s">
        <v>14</v>
      </c>
      <c r="G11" s="11">
        <v>3500</v>
      </c>
      <c r="H11" s="4">
        <v>3500</v>
      </c>
      <c r="K11" s="19">
        <v>8</v>
      </c>
      <c r="L11" s="14" t="s">
        <v>94</v>
      </c>
      <c r="M11" s="19" t="s">
        <v>95</v>
      </c>
      <c r="N11" s="19">
        <v>40</v>
      </c>
      <c r="O11" s="19" t="s">
        <v>10</v>
      </c>
      <c r="Q11" s="19" t="s">
        <v>14</v>
      </c>
      <c r="R11" s="21">
        <v>3500</v>
      </c>
    </row>
    <row r="12" spans="1:18" ht="15.6" x14ac:dyDescent="0.3">
      <c r="A12" s="10"/>
      <c r="B12" s="10"/>
      <c r="C12" s="10"/>
      <c r="D12" s="10"/>
      <c r="E12" s="10"/>
      <c r="F12" s="10"/>
      <c r="G12" s="12">
        <f>SUM(R4:R16)</f>
        <v>45500</v>
      </c>
      <c r="H12" s="4">
        <v>3500</v>
      </c>
      <c r="K12" s="19">
        <v>9</v>
      </c>
      <c r="L12" s="14" t="s">
        <v>99</v>
      </c>
      <c r="M12" s="19" t="s">
        <v>100</v>
      </c>
      <c r="N12" s="19">
        <v>40</v>
      </c>
      <c r="O12" s="19" t="s">
        <v>10</v>
      </c>
      <c r="Q12" s="19" t="s">
        <v>14</v>
      </c>
      <c r="R12" s="21">
        <v>3500</v>
      </c>
    </row>
    <row r="13" spans="1:18" ht="15.6" x14ac:dyDescent="0.3">
      <c r="K13" s="19">
        <v>10</v>
      </c>
      <c r="L13" s="14" t="s">
        <v>101</v>
      </c>
      <c r="M13" s="19" t="s">
        <v>104</v>
      </c>
      <c r="N13" s="19">
        <v>40</v>
      </c>
      <c r="O13" s="19" t="s">
        <v>10</v>
      </c>
      <c r="Q13" s="19" t="s">
        <v>39</v>
      </c>
      <c r="R13" s="21">
        <v>3500</v>
      </c>
    </row>
    <row r="14" spans="1:18" ht="21" x14ac:dyDescent="0.4">
      <c r="A14" s="57" t="s">
        <v>33</v>
      </c>
      <c r="B14" s="58"/>
      <c r="C14" s="58"/>
      <c r="D14" s="58"/>
      <c r="E14" s="58"/>
      <c r="F14" s="58"/>
      <c r="G14" s="59"/>
      <c r="K14" s="19">
        <v>11</v>
      </c>
      <c r="L14" s="14" t="s">
        <v>105</v>
      </c>
      <c r="M14" s="19" t="s">
        <v>106</v>
      </c>
      <c r="N14" s="19">
        <v>40</v>
      </c>
      <c r="O14" s="19" t="s">
        <v>10</v>
      </c>
      <c r="Q14" s="19" t="s">
        <v>59</v>
      </c>
      <c r="R14" s="21">
        <v>3500</v>
      </c>
    </row>
    <row r="15" spans="1:18" ht="15.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40</v>
      </c>
      <c r="K15" s="19">
        <v>12</v>
      </c>
      <c r="L15" s="14" t="s">
        <v>107</v>
      </c>
      <c r="M15" s="19" t="s">
        <v>111</v>
      </c>
      <c r="N15" s="19">
        <v>40</v>
      </c>
      <c r="O15" s="19" t="s">
        <v>10</v>
      </c>
      <c r="Q15" s="19" t="s">
        <v>14</v>
      </c>
      <c r="R15" s="21">
        <v>3500</v>
      </c>
    </row>
    <row r="16" spans="1:18" ht="15.6" x14ac:dyDescent="0.3">
      <c r="A16" s="3">
        <v>1</v>
      </c>
      <c r="B16" s="3" t="s">
        <v>18</v>
      </c>
      <c r="C16" s="7" t="s">
        <v>20</v>
      </c>
      <c r="D16" s="3" t="s">
        <v>9</v>
      </c>
      <c r="E16" s="3" t="s">
        <v>21</v>
      </c>
      <c r="F16" s="3" t="s">
        <v>14</v>
      </c>
      <c r="G16" s="11">
        <v>2700</v>
      </c>
      <c r="K16" s="19">
        <v>13</v>
      </c>
      <c r="L16" s="17" t="s">
        <v>112</v>
      </c>
      <c r="M16" s="19" t="s">
        <v>113</v>
      </c>
      <c r="N16" s="20">
        <v>40</v>
      </c>
      <c r="O16" s="20" t="s">
        <v>10</v>
      </c>
      <c r="Q16" s="20" t="s">
        <v>59</v>
      </c>
      <c r="R16" s="22">
        <v>3500</v>
      </c>
    </row>
    <row r="17" spans="1:18" x14ac:dyDescent="0.3">
      <c r="A17" s="10"/>
      <c r="B17" s="10"/>
      <c r="C17" s="10"/>
      <c r="D17" s="10"/>
      <c r="E17" s="10"/>
      <c r="F17" s="10"/>
      <c r="G17" s="12">
        <f>SUM(G16)</f>
        <v>2700</v>
      </c>
      <c r="K17" s="10"/>
      <c r="L17" s="10"/>
      <c r="M17" s="10"/>
      <c r="N17" s="10"/>
      <c r="O17" s="10"/>
      <c r="P17" s="10"/>
      <c r="Q17" s="10"/>
      <c r="R17" s="23">
        <f>SUM(R4:R16)</f>
        <v>45500</v>
      </c>
    </row>
    <row r="19" spans="1:18" ht="21" x14ac:dyDescent="0.4">
      <c r="A19" s="57" t="s">
        <v>34</v>
      </c>
      <c r="B19" s="58"/>
      <c r="C19" s="58"/>
      <c r="D19" s="58"/>
      <c r="E19" s="58"/>
      <c r="F19" s="58"/>
      <c r="G19" s="59"/>
      <c r="K19" s="53" t="s">
        <v>33</v>
      </c>
      <c r="L19" s="53"/>
      <c r="M19" s="53"/>
      <c r="N19" s="53"/>
      <c r="O19" s="53"/>
      <c r="P19" s="53"/>
      <c r="Q19" s="53"/>
      <c r="R19" s="53"/>
    </row>
    <row r="20" spans="1:18" ht="15.6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40</v>
      </c>
      <c r="K20" s="15" t="s">
        <v>0</v>
      </c>
      <c r="L20" s="15" t="s">
        <v>1</v>
      </c>
      <c r="M20" s="15" t="s">
        <v>2</v>
      </c>
      <c r="N20" s="15" t="s">
        <v>3</v>
      </c>
      <c r="O20" s="15" t="s">
        <v>4</v>
      </c>
      <c r="P20" s="15" t="s">
        <v>5</v>
      </c>
      <c r="Q20" s="15" t="s">
        <v>5</v>
      </c>
      <c r="R20" s="1" t="s">
        <v>40</v>
      </c>
    </row>
    <row r="21" spans="1:18" ht="15.6" x14ac:dyDescent="0.3">
      <c r="A21" s="5">
        <v>1</v>
      </c>
      <c r="B21" s="6" t="s">
        <v>11</v>
      </c>
      <c r="C21" s="7" t="s">
        <v>12</v>
      </c>
      <c r="D21" s="5" t="s">
        <v>9</v>
      </c>
      <c r="E21" s="5" t="s">
        <v>39</v>
      </c>
      <c r="F21" s="5" t="s">
        <v>10</v>
      </c>
      <c r="G21" s="11">
        <v>3500</v>
      </c>
      <c r="K21" s="19">
        <v>1</v>
      </c>
      <c r="L21" s="14" t="s">
        <v>77</v>
      </c>
      <c r="M21" s="19" t="s">
        <v>78</v>
      </c>
      <c r="N21" s="19">
        <v>20</v>
      </c>
      <c r="O21" s="19" t="s">
        <v>10</v>
      </c>
      <c r="Q21" s="19" t="s">
        <v>39</v>
      </c>
      <c r="R21" s="24">
        <v>5500</v>
      </c>
    </row>
    <row r="22" spans="1:18" ht="15.6" x14ac:dyDescent="0.3">
      <c r="A22" s="5">
        <v>2</v>
      </c>
      <c r="B22" s="5" t="s">
        <v>11</v>
      </c>
      <c r="C22" s="7" t="s">
        <v>15</v>
      </c>
      <c r="D22" s="5" t="s">
        <v>9</v>
      </c>
      <c r="E22" s="5" t="s">
        <v>14</v>
      </c>
      <c r="F22" s="5" t="s">
        <v>10</v>
      </c>
      <c r="G22" s="11">
        <v>3500</v>
      </c>
      <c r="K22" s="19"/>
      <c r="L22" s="14"/>
      <c r="M22" s="19" t="s">
        <v>79</v>
      </c>
      <c r="N22" s="19">
        <v>20</v>
      </c>
      <c r="O22" s="19" t="s">
        <v>10</v>
      </c>
      <c r="Q22" s="19" t="s">
        <v>39</v>
      </c>
      <c r="R22" s="24"/>
    </row>
    <row r="23" spans="1:18" ht="15.6" x14ac:dyDescent="0.3">
      <c r="A23" s="5">
        <v>3</v>
      </c>
      <c r="B23" s="5" t="s">
        <v>18</v>
      </c>
      <c r="C23" s="7" t="s">
        <v>19</v>
      </c>
      <c r="D23" s="5" t="s">
        <v>9</v>
      </c>
      <c r="E23" s="5" t="s">
        <v>17</v>
      </c>
      <c r="F23" s="5" t="s">
        <v>10</v>
      </c>
      <c r="G23" s="11">
        <v>3500</v>
      </c>
      <c r="K23" s="19">
        <v>2</v>
      </c>
      <c r="L23" s="14" t="s">
        <v>81</v>
      </c>
      <c r="M23" s="19" t="s">
        <v>82</v>
      </c>
      <c r="N23" s="19">
        <v>20</v>
      </c>
      <c r="O23" s="19" t="s">
        <v>10</v>
      </c>
      <c r="Q23" s="19" t="s">
        <v>14</v>
      </c>
      <c r="R23" s="24">
        <v>5500</v>
      </c>
    </row>
    <row r="24" spans="1:18" ht="15.6" x14ac:dyDescent="0.3">
      <c r="A24" s="5">
        <v>4</v>
      </c>
      <c r="B24" s="5" t="s">
        <v>22</v>
      </c>
      <c r="C24" s="7" t="s">
        <v>23</v>
      </c>
      <c r="D24" s="5" t="s">
        <v>9</v>
      </c>
      <c r="E24" s="5" t="s">
        <v>38</v>
      </c>
      <c r="F24" s="5" t="s">
        <v>10</v>
      </c>
      <c r="G24" s="11">
        <v>3500</v>
      </c>
      <c r="K24" s="19"/>
      <c r="L24" s="14"/>
      <c r="M24" s="19" t="s">
        <v>83</v>
      </c>
      <c r="N24" s="19">
        <v>20</v>
      </c>
      <c r="O24" s="19" t="s">
        <v>10</v>
      </c>
      <c r="Q24" s="19" t="s">
        <v>14</v>
      </c>
      <c r="R24" s="24"/>
    </row>
    <row r="25" spans="1:18" ht="15.6" x14ac:dyDescent="0.3">
      <c r="A25" s="5">
        <v>5</v>
      </c>
      <c r="B25" s="5" t="s">
        <v>26</v>
      </c>
      <c r="C25" s="7" t="s">
        <v>25</v>
      </c>
      <c r="D25" s="5" t="s">
        <v>9</v>
      </c>
      <c r="E25" s="5" t="s">
        <v>14</v>
      </c>
      <c r="F25" s="5" t="s">
        <v>10</v>
      </c>
      <c r="G25" s="11">
        <v>3500</v>
      </c>
      <c r="K25" s="19">
        <v>3</v>
      </c>
      <c r="L25" s="14" t="s">
        <v>84</v>
      </c>
      <c r="M25" s="19" t="s">
        <v>85</v>
      </c>
      <c r="N25" s="19">
        <v>20</v>
      </c>
      <c r="O25" s="19" t="s">
        <v>10</v>
      </c>
      <c r="Q25" s="19" t="s">
        <v>17</v>
      </c>
      <c r="R25" s="24">
        <v>5500</v>
      </c>
    </row>
    <row r="26" spans="1:18" ht="15.6" x14ac:dyDescent="0.3">
      <c r="A26" s="5">
        <v>6</v>
      </c>
      <c r="B26" s="5" t="s">
        <v>26</v>
      </c>
      <c r="C26" s="7" t="s">
        <v>28</v>
      </c>
      <c r="D26" s="5" t="s">
        <v>9</v>
      </c>
      <c r="E26" s="5" t="s">
        <v>14</v>
      </c>
      <c r="F26" s="5" t="s">
        <v>10</v>
      </c>
      <c r="G26" s="11">
        <v>3500</v>
      </c>
      <c r="K26" s="19"/>
      <c r="L26" s="14"/>
      <c r="M26" s="19" t="s">
        <v>86</v>
      </c>
      <c r="N26" s="19">
        <v>20</v>
      </c>
      <c r="O26" s="19" t="s">
        <v>10</v>
      </c>
      <c r="Q26" s="19" t="s">
        <v>17</v>
      </c>
      <c r="R26" s="24"/>
    </row>
    <row r="27" spans="1:18" ht="15.6" x14ac:dyDescent="0.3">
      <c r="A27" s="5">
        <v>7</v>
      </c>
      <c r="B27" s="5" t="s">
        <v>31</v>
      </c>
      <c r="C27" s="7" t="s">
        <v>30</v>
      </c>
      <c r="D27" s="5" t="s">
        <v>9</v>
      </c>
      <c r="E27" s="5" t="s">
        <v>14</v>
      </c>
      <c r="F27" s="5" t="s">
        <v>10</v>
      </c>
      <c r="G27" s="11">
        <v>3500</v>
      </c>
      <c r="K27" s="19">
        <v>4</v>
      </c>
      <c r="L27" s="14" t="s">
        <v>87</v>
      </c>
      <c r="M27" s="19" t="s">
        <v>88</v>
      </c>
      <c r="N27" s="19">
        <v>20</v>
      </c>
      <c r="O27" s="19" t="s">
        <v>10</v>
      </c>
      <c r="Q27" s="19" t="s">
        <v>17</v>
      </c>
      <c r="R27" s="24">
        <v>5500</v>
      </c>
    </row>
    <row r="28" spans="1:18" ht="15.6" x14ac:dyDescent="0.3">
      <c r="A28" s="5">
        <v>8</v>
      </c>
      <c r="B28" s="3" t="s">
        <v>31</v>
      </c>
      <c r="C28" s="7" t="s">
        <v>37</v>
      </c>
      <c r="D28" s="3" t="s">
        <v>9</v>
      </c>
      <c r="E28" s="3" t="s">
        <v>14</v>
      </c>
      <c r="F28" s="3" t="s">
        <v>10</v>
      </c>
      <c r="G28" s="11">
        <v>3500</v>
      </c>
      <c r="K28" s="19"/>
      <c r="L28" s="14"/>
      <c r="M28" s="19" t="s">
        <v>89</v>
      </c>
      <c r="N28" s="19">
        <v>20</v>
      </c>
      <c r="O28" s="19" t="s">
        <v>10</v>
      </c>
      <c r="Q28" s="19" t="s">
        <v>17</v>
      </c>
      <c r="R28" s="24"/>
    </row>
    <row r="29" spans="1:18" ht="15.6" x14ac:dyDescent="0.3">
      <c r="A29" s="5">
        <v>9</v>
      </c>
      <c r="B29" s="3" t="s">
        <v>31</v>
      </c>
      <c r="C29" s="8" t="s">
        <v>36</v>
      </c>
      <c r="D29" s="3" t="s">
        <v>9</v>
      </c>
      <c r="E29" s="3" t="s">
        <v>14</v>
      </c>
      <c r="F29" s="3" t="s">
        <v>10</v>
      </c>
      <c r="G29" s="11">
        <v>3500</v>
      </c>
      <c r="K29" s="19">
        <v>5</v>
      </c>
      <c r="L29" s="14" t="s">
        <v>91</v>
      </c>
      <c r="M29" s="19" t="s">
        <v>92</v>
      </c>
      <c r="N29" s="19">
        <v>20</v>
      </c>
      <c r="O29" s="19" t="s">
        <v>10</v>
      </c>
      <c r="Q29" s="19" t="s">
        <v>17</v>
      </c>
      <c r="R29" s="24">
        <v>5500</v>
      </c>
    </row>
    <row r="30" spans="1:18" ht="15.6" x14ac:dyDescent="0.3">
      <c r="A30" s="10"/>
      <c r="B30" s="10"/>
      <c r="C30" s="10"/>
      <c r="D30" s="10"/>
      <c r="E30" s="10"/>
      <c r="F30" s="10"/>
      <c r="G30" s="13">
        <f>SUM(G21:G29)</f>
        <v>31500</v>
      </c>
      <c r="K30" s="19"/>
      <c r="L30" s="14"/>
      <c r="M30" s="19" t="s">
        <v>93</v>
      </c>
      <c r="N30" s="19">
        <v>20</v>
      </c>
      <c r="O30" s="19" t="s">
        <v>10</v>
      </c>
      <c r="Q30" s="19" t="s">
        <v>17</v>
      </c>
      <c r="R30" s="24"/>
    </row>
    <row r="31" spans="1:18" ht="15.6" x14ac:dyDescent="0.3">
      <c r="K31" s="19">
        <v>6</v>
      </c>
      <c r="L31" s="14" t="s">
        <v>96</v>
      </c>
      <c r="M31" s="19" t="s">
        <v>115</v>
      </c>
      <c r="N31" s="19">
        <v>20</v>
      </c>
      <c r="O31" s="19" t="s">
        <v>10</v>
      </c>
      <c r="Q31" s="19" t="s">
        <v>17</v>
      </c>
      <c r="R31" s="24">
        <v>5500</v>
      </c>
    </row>
    <row r="32" spans="1:18" ht="15.6" x14ac:dyDescent="0.3">
      <c r="K32" s="19"/>
      <c r="L32" s="14"/>
      <c r="M32" s="19" t="s">
        <v>98</v>
      </c>
      <c r="N32" s="19">
        <v>20</v>
      </c>
      <c r="O32" s="19" t="s">
        <v>10</v>
      </c>
      <c r="Q32" s="19" t="s">
        <v>17</v>
      </c>
      <c r="R32" s="24"/>
    </row>
    <row r="33" spans="11:18" ht="15.6" x14ac:dyDescent="0.3">
      <c r="K33" s="19">
        <v>7</v>
      </c>
      <c r="L33" s="14" t="s">
        <v>101</v>
      </c>
      <c r="M33" s="19" t="s">
        <v>102</v>
      </c>
      <c r="N33" s="19">
        <v>20</v>
      </c>
      <c r="O33" s="19" t="s">
        <v>10</v>
      </c>
      <c r="Q33" s="19" t="s">
        <v>17</v>
      </c>
      <c r="R33" s="24">
        <v>5500</v>
      </c>
    </row>
    <row r="34" spans="11:18" ht="15.6" x14ac:dyDescent="0.3">
      <c r="K34" s="19"/>
      <c r="L34" s="14"/>
      <c r="M34" s="19" t="s">
        <v>103</v>
      </c>
      <c r="N34" s="19">
        <v>20</v>
      </c>
      <c r="O34" s="19" t="s">
        <v>10</v>
      </c>
      <c r="Q34" s="19" t="s">
        <v>17</v>
      </c>
      <c r="R34" s="24"/>
    </row>
    <row r="35" spans="11:18" ht="15.6" x14ac:dyDescent="0.3">
      <c r="K35" s="19">
        <v>8</v>
      </c>
      <c r="L35" s="14" t="s">
        <v>107</v>
      </c>
      <c r="M35" s="19" t="s">
        <v>108</v>
      </c>
      <c r="N35" s="19">
        <v>20</v>
      </c>
      <c r="O35" s="19" t="s">
        <v>10</v>
      </c>
      <c r="Q35" s="19" t="s">
        <v>14</v>
      </c>
      <c r="R35" s="24">
        <v>5500</v>
      </c>
    </row>
    <row r="36" spans="11:18" ht="15.6" x14ac:dyDescent="0.3">
      <c r="K36" s="20"/>
      <c r="L36" s="17"/>
      <c r="M36" s="19" t="s">
        <v>109</v>
      </c>
      <c r="N36" s="20">
        <v>20</v>
      </c>
      <c r="O36" s="20" t="s">
        <v>10</v>
      </c>
      <c r="Q36" s="20" t="s">
        <v>14</v>
      </c>
      <c r="R36" s="25"/>
    </row>
    <row r="37" spans="11:18" x14ac:dyDescent="0.3">
      <c r="K37" s="10"/>
      <c r="L37" s="10"/>
      <c r="M37" s="10"/>
      <c r="N37" s="19"/>
      <c r="O37" s="10"/>
      <c r="P37" s="10"/>
      <c r="Q37" s="10"/>
      <c r="R37" s="26">
        <f>SUM(R21:R36)</f>
        <v>44000</v>
      </c>
    </row>
    <row r="39" spans="11:18" ht="21" x14ac:dyDescent="0.4">
      <c r="K39" s="53" t="s">
        <v>34</v>
      </c>
      <c r="L39" s="53"/>
      <c r="M39" s="53"/>
      <c r="N39" s="53"/>
      <c r="O39" s="53"/>
      <c r="P39" s="53"/>
      <c r="Q39" s="53"/>
      <c r="R39" s="53"/>
    </row>
    <row r="40" spans="11:18" ht="15.6" x14ac:dyDescent="0.3">
      <c r="K40" s="15" t="s">
        <v>0</v>
      </c>
      <c r="L40" s="15" t="s">
        <v>1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5</v>
      </c>
      <c r="R40" s="1" t="s">
        <v>40</v>
      </c>
    </row>
    <row r="41" spans="11:18" ht="15.6" x14ac:dyDescent="0.3">
      <c r="K41" s="16">
        <v>1</v>
      </c>
      <c r="L41" s="14" t="s">
        <v>60</v>
      </c>
      <c r="M41" s="19" t="s">
        <v>45</v>
      </c>
      <c r="N41" s="19">
        <v>40</v>
      </c>
      <c r="O41" s="27" t="s">
        <v>14</v>
      </c>
      <c r="P41" s="10"/>
      <c r="Q41" s="27" t="s">
        <v>10</v>
      </c>
      <c r="R41" s="24">
        <v>3500</v>
      </c>
    </row>
    <row r="42" spans="11:18" x14ac:dyDescent="0.3">
      <c r="K42" s="16">
        <v>2</v>
      </c>
      <c r="L42" s="19" t="s">
        <v>60</v>
      </c>
      <c r="M42" s="19" t="s">
        <v>46</v>
      </c>
      <c r="N42" s="19">
        <v>40</v>
      </c>
      <c r="O42" s="27" t="s">
        <v>14</v>
      </c>
      <c r="P42" s="10"/>
      <c r="Q42" s="27" t="s">
        <v>10</v>
      </c>
      <c r="R42" s="24">
        <v>3500</v>
      </c>
    </row>
    <row r="43" spans="11:18" ht="15.6" x14ac:dyDescent="0.3">
      <c r="K43" s="16">
        <v>3</v>
      </c>
      <c r="L43" s="14" t="s">
        <v>61</v>
      </c>
      <c r="M43" s="19" t="s">
        <v>62</v>
      </c>
      <c r="N43" s="19">
        <v>40</v>
      </c>
      <c r="O43" s="27" t="s">
        <v>17</v>
      </c>
      <c r="P43" s="10"/>
      <c r="Q43" s="27" t="s">
        <v>10</v>
      </c>
      <c r="R43" s="24">
        <v>3500</v>
      </c>
    </row>
    <row r="44" spans="11:18" x14ac:dyDescent="0.3">
      <c r="K44" s="16">
        <v>4</v>
      </c>
      <c r="L44" s="19" t="s">
        <v>61</v>
      </c>
      <c r="M44" s="19" t="s">
        <v>47</v>
      </c>
      <c r="N44" s="19">
        <v>40</v>
      </c>
      <c r="O44" s="27" t="s">
        <v>59</v>
      </c>
      <c r="P44" s="10"/>
      <c r="Q44" s="27" t="s">
        <v>10</v>
      </c>
      <c r="R44" s="24">
        <v>3500</v>
      </c>
    </row>
    <row r="45" spans="11:18" x14ac:dyDescent="0.3">
      <c r="K45" s="16">
        <v>5</v>
      </c>
      <c r="L45" s="19" t="s">
        <v>63</v>
      </c>
      <c r="M45" s="19" t="s">
        <v>48</v>
      </c>
      <c r="N45" s="19">
        <v>40</v>
      </c>
      <c r="O45" s="27" t="s">
        <v>59</v>
      </c>
      <c r="P45" s="10"/>
      <c r="Q45" s="27" t="s">
        <v>10</v>
      </c>
      <c r="R45" s="24">
        <v>3500</v>
      </c>
    </row>
    <row r="46" spans="11:18" x14ac:dyDescent="0.3">
      <c r="K46" s="16">
        <v>6</v>
      </c>
      <c r="L46" s="19" t="s">
        <v>64</v>
      </c>
      <c r="M46" s="19" t="s">
        <v>80</v>
      </c>
      <c r="N46" s="19">
        <v>40</v>
      </c>
      <c r="O46" s="27" t="s">
        <v>14</v>
      </c>
      <c r="P46" s="10"/>
      <c r="Q46" s="27" t="s">
        <v>10</v>
      </c>
      <c r="R46" s="24">
        <v>3500</v>
      </c>
    </row>
    <row r="47" spans="11:18" ht="15.6" x14ac:dyDescent="0.3">
      <c r="K47" s="16">
        <v>7</v>
      </c>
      <c r="L47" s="14" t="s">
        <v>65</v>
      </c>
      <c r="M47" s="19" t="s">
        <v>49</v>
      </c>
      <c r="N47" s="19">
        <v>40</v>
      </c>
      <c r="O47" s="27" t="s">
        <v>14</v>
      </c>
      <c r="P47" s="10"/>
      <c r="Q47" s="27" t="s">
        <v>10</v>
      </c>
      <c r="R47" s="24">
        <v>3500</v>
      </c>
    </row>
    <row r="48" spans="11:18" x14ac:dyDescent="0.3">
      <c r="K48" s="16">
        <v>8</v>
      </c>
      <c r="L48" s="19" t="s">
        <v>66</v>
      </c>
      <c r="M48" s="19" t="s">
        <v>50</v>
      </c>
      <c r="N48" s="19">
        <v>40</v>
      </c>
      <c r="O48" s="27" t="s">
        <v>17</v>
      </c>
      <c r="P48" s="10"/>
      <c r="Q48" s="27" t="s">
        <v>10</v>
      </c>
      <c r="R48" s="24">
        <v>3500</v>
      </c>
    </row>
    <row r="49" spans="11:18" ht="15.6" x14ac:dyDescent="0.3">
      <c r="K49" s="16">
        <v>9</v>
      </c>
      <c r="L49" s="14" t="s">
        <v>67</v>
      </c>
      <c r="M49" s="19" t="s">
        <v>51</v>
      </c>
      <c r="N49" s="19">
        <v>40</v>
      </c>
      <c r="O49" s="27" t="s">
        <v>17</v>
      </c>
      <c r="P49" s="10"/>
      <c r="Q49" s="27" t="s">
        <v>10</v>
      </c>
      <c r="R49" s="24">
        <v>3500</v>
      </c>
    </row>
    <row r="50" spans="11:18" ht="15.6" x14ac:dyDescent="0.3">
      <c r="K50" s="16">
        <v>10</v>
      </c>
      <c r="L50" s="14" t="s">
        <v>68</v>
      </c>
      <c r="M50" s="19" t="s">
        <v>52</v>
      </c>
      <c r="N50" s="19">
        <v>40</v>
      </c>
      <c r="O50" s="27" t="s">
        <v>14</v>
      </c>
      <c r="P50" s="10"/>
      <c r="Q50" s="27" t="s">
        <v>10</v>
      </c>
      <c r="R50" s="24">
        <v>3500</v>
      </c>
    </row>
    <row r="51" spans="11:18" ht="15.6" x14ac:dyDescent="0.3">
      <c r="K51" s="16">
        <v>11</v>
      </c>
      <c r="L51" s="14" t="s">
        <v>69</v>
      </c>
      <c r="M51" s="19" t="s">
        <v>53</v>
      </c>
      <c r="N51" s="19">
        <v>40</v>
      </c>
      <c r="O51" s="27" t="s">
        <v>17</v>
      </c>
      <c r="P51" s="10"/>
      <c r="Q51" s="27" t="s">
        <v>10</v>
      </c>
      <c r="R51" s="24">
        <v>3500</v>
      </c>
    </row>
    <row r="52" spans="11:18" ht="15.6" x14ac:dyDescent="0.3">
      <c r="K52" s="16">
        <v>12</v>
      </c>
      <c r="L52" s="14" t="s">
        <v>70</v>
      </c>
      <c r="M52" s="19" t="s">
        <v>97</v>
      </c>
      <c r="N52" s="19">
        <v>40</v>
      </c>
      <c r="O52" s="27" t="s">
        <v>14</v>
      </c>
      <c r="P52" s="10"/>
      <c r="Q52" s="27" t="s">
        <v>10</v>
      </c>
      <c r="R52" s="24">
        <v>3500</v>
      </c>
    </row>
    <row r="53" spans="11:18" ht="15.6" x14ac:dyDescent="0.3">
      <c r="K53" s="16">
        <v>13</v>
      </c>
      <c r="L53" s="14" t="s">
        <v>116</v>
      </c>
      <c r="M53" s="19" t="s">
        <v>114</v>
      </c>
      <c r="N53" s="19">
        <v>40</v>
      </c>
      <c r="O53" s="27" t="s">
        <v>17</v>
      </c>
      <c r="P53" s="10"/>
      <c r="Q53" s="27" t="s">
        <v>10</v>
      </c>
      <c r="R53" s="24">
        <v>3500</v>
      </c>
    </row>
    <row r="54" spans="11:18" ht="15.6" x14ac:dyDescent="0.3">
      <c r="K54" s="16">
        <v>14</v>
      </c>
      <c r="L54" s="14" t="s">
        <v>117</v>
      </c>
      <c r="M54" s="19" t="s">
        <v>122</v>
      </c>
      <c r="N54" s="19">
        <v>40</v>
      </c>
      <c r="O54" s="27" t="s">
        <v>14</v>
      </c>
      <c r="P54" s="10"/>
      <c r="Q54" s="27" t="s">
        <v>10</v>
      </c>
      <c r="R54" s="24">
        <v>3500</v>
      </c>
    </row>
    <row r="55" spans="11:18" ht="15.6" x14ac:dyDescent="0.3">
      <c r="K55" s="16">
        <v>15</v>
      </c>
      <c r="L55" s="14" t="s">
        <v>118</v>
      </c>
      <c r="M55" s="19" t="s">
        <v>54</v>
      </c>
      <c r="N55" s="19">
        <v>40</v>
      </c>
      <c r="O55" s="27" t="s">
        <v>17</v>
      </c>
      <c r="P55" s="10"/>
      <c r="Q55" s="27" t="s">
        <v>10</v>
      </c>
      <c r="R55" s="24">
        <v>3500</v>
      </c>
    </row>
    <row r="56" spans="11:18" ht="15.6" x14ac:dyDescent="0.3">
      <c r="K56" s="16">
        <v>16</v>
      </c>
      <c r="L56" s="14" t="s">
        <v>119</v>
      </c>
      <c r="M56" s="19" t="s">
        <v>55</v>
      </c>
      <c r="N56" s="19">
        <v>40</v>
      </c>
      <c r="O56" s="27" t="s">
        <v>39</v>
      </c>
      <c r="P56" s="10"/>
      <c r="Q56" s="27" t="s">
        <v>10</v>
      </c>
      <c r="R56" s="24">
        <v>3500</v>
      </c>
    </row>
    <row r="57" spans="11:18" x14ac:dyDescent="0.3">
      <c r="K57" s="16">
        <v>17</v>
      </c>
      <c r="L57" s="19" t="s">
        <v>119</v>
      </c>
      <c r="M57" s="19" t="s">
        <v>56</v>
      </c>
      <c r="N57" s="19">
        <v>40</v>
      </c>
      <c r="O57" s="27" t="s">
        <v>59</v>
      </c>
      <c r="P57" s="10"/>
      <c r="Q57" s="27" t="s">
        <v>10</v>
      </c>
      <c r="R57" s="24">
        <v>3500</v>
      </c>
    </row>
    <row r="58" spans="11:18" ht="15.6" x14ac:dyDescent="0.3">
      <c r="K58" s="16">
        <v>18</v>
      </c>
      <c r="L58" s="14" t="s">
        <v>120</v>
      </c>
      <c r="M58" s="19" t="s">
        <v>110</v>
      </c>
      <c r="N58" s="19">
        <v>40</v>
      </c>
      <c r="O58" s="27" t="s">
        <v>14</v>
      </c>
      <c r="P58" s="10"/>
      <c r="Q58" s="27" t="s">
        <v>10</v>
      </c>
      <c r="R58" s="24">
        <v>3500</v>
      </c>
    </row>
    <row r="59" spans="11:18" ht="15.6" x14ac:dyDescent="0.3">
      <c r="K59" s="16">
        <v>19</v>
      </c>
      <c r="L59" s="14" t="s">
        <v>121</v>
      </c>
      <c r="M59" s="19" t="s">
        <v>57</v>
      </c>
      <c r="N59" s="19">
        <v>40</v>
      </c>
      <c r="O59" s="27" t="s">
        <v>14</v>
      </c>
      <c r="P59" s="10"/>
      <c r="Q59" s="27" t="s">
        <v>10</v>
      </c>
      <c r="R59" s="24">
        <v>3500</v>
      </c>
    </row>
    <row r="60" spans="11:18" x14ac:dyDescent="0.3">
      <c r="K60" s="16">
        <v>20</v>
      </c>
      <c r="L60" s="19" t="s">
        <v>121</v>
      </c>
      <c r="M60" s="19" t="s">
        <v>58</v>
      </c>
      <c r="N60" s="19">
        <v>40</v>
      </c>
      <c r="O60" s="27" t="s">
        <v>59</v>
      </c>
      <c r="P60" s="10"/>
      <c r="Q60" s="27" t="s">
        <v>10</v>
      </c>
      <c r="R60" s="24">
        <v>3500</v>
      </c>
    </row>
    <row r="61" spans="11:18" x14ac:dyDescent="0.3">
      <c r="K61" s="10"/>
      <c r="L61" s="10"/>
      <c r="M61" s="10"/>
      <c r="N61" s="10"/>
      <c r="O61" s="10"/>
      <c r="P61" s="10"/>
      <c r="Q61" s="10"/>
      <c r="R61" s="26">
        <f>SUM(R41:R60)</f>
        <v>70000</v>
      </c>
    </row>
  </sheetData>
  <mergeCells count="8">
    <mergeCell ref="K19:R19"/>
    <mergeCell ref="K39:R39"/>
    <mergeCell ref="K2:R2"/>
    <mergeCell ref="A1:G1"/>
    <mergeCell ref="K1:Q1"/>
    <mergeCell ref="A2:G2"/>
    <mergeCell ref="A14:G14"/>
    <mergeCell ref="A19:G19"/>
  </mergeCells>
  <phoneticPr fontId="8" type="noConversion"/>
  <printOptions horizontalCentered="1"/>
  <pageMargins left="0" right="0" top="0.25" bottom="0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4470-6C75-486E-BC3E-F83CDB4CC674}">
  <dimension ref="A1:O78"/>
  <sheetViews>
    <sheetView tabSelected="1" topLeftCell="E53" zoomScale="80" zoomScaleNormal="87" workbookViewId="0">
      <selection activeCell="Q74" sqref="Q74"/>
    </sheetView>
  </sheetViews>
  <sheetFormatPr defaultRowHeight="14.4" x14ac:dyDescent="0.3"/>
  <cols>
    <col min="1" max="1" width="9" bestFit="1" customWidth="1"/>
    <col min="2" max="2" width="11.6640625" bestFit="1" customWidth="1"/>
    <col min="3" max="3" width="21.6640625" bestFit="1" customWidth="1"/>
    <col min="4" max="4" width="11.5546875" bestFit="1" customWidth="1"/>
    <col min="7" max="7" width="9" bestFit="1" customWidth="1"/>
    <col min="9" max="9" width="9" bestFit="1" customWidth="1"/>
    <col min="10" max="10" width="12.109375" bestFit="1" customWidth="1"/>
    <col min="11" max="11" width="22.33203125" bestFit="1" customWidth="1"/>
    <col min="12" max="12" width="11.44140625" bestFit="1" customWidth="1"/>
    <col min="15" max="15" width="9.44140625" bestFit="1" customWidth="1"/>
    <col min="17" max="17" width="12.33203125" customWidth="1"/>
    <col min="18" max="18" width="16.6640625" customWidth="1"/>
  </cols>
  <sheetData>
    <row r="1" spans="1:15" x14ac:dyDescent="0.3">
      <c r="C1" t="s">
        <v>124</v>
      </c>
      <c r="K1" t="s">
        <v>239</v>
      </c>
    </row>
    <row r="2" spans="1:15" ht="21" x14ac:dyDescent="0.3">
      <c r="A2" s="54" t="s">
        <v>174</v>
      </c>
      <c r="B2" s="54"/>
      <c r="C2" s="54"/>
      <c r="D2" s="54"/>
      <c r="E2" s="54"/>
      <c r="F2" s="54"/>
      <c r="G2" s="54"/>
      <c r="I2" s="54" t="s">
        <v>174</v>
      </c>
      <c r="J2" s="54"/>
      <c r="K2" s="54"/>
      <c r="L2" s="54"/>
      <c r="M2" s="54"/>
      <c r="N2" s="54"/>
      <c r="O2" s="54"/>
    </row>
    <row r="3" spans="1:15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40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40</v>
      </c>
    </row>
    <row r="4" spans="1:15" ht="15.6" x14ac:dyDescent="0.3">
      <c r="A4" s="30">
        <v>1</v>
      </c>
      <c r="B4" s="28">
        <v>46028</v>
      </c>
      <c r="C4" s="19" t="s">
        <v>125</v>
      </c>
      <c r="D4" s="30">
        <v>40</v>
      </c>
      <c r="E4" s="30" t="s">
        <v>10</v>
      </c>
      <c r="F4" s="30" t="s">
        <v>39</v>
      </c>
      <c r="G4" s="31">
        <v>3500</v>
      </c>
      <c r="I4" s="30">
        <v>1</v>
      </c>
      <c r="J4" s="28" t="s">
        <v>210</v>
      </c>
      <c r="K4" s="40" t="s">
        <v>194</v>
      </c>
      <c r="L4" s="40">
        <v>40</v>
      </c>
      <c r="M4" s="40" t="s">
        <v>10</v>
      </c>
      <c r="N4" s="40" t="s">
        <v>39</v>
      </c>
      <c r="O4" s="48">
        <v>3500</v>
      </c>
    </row>
    <row r="5" spans="1:15" ht="15.6" x14ac:dyDescent="0.3">
      <c r="A5" s="30">
        <v>2</v>
      </c>
      <c r="B5" s="29">
        <v>46148</v>
      </c>
      <c r="C5" s="19" t="s">
        <v>139</v>
      </c>
      <c r="D5" s="30">
        <v>40</v>
      </c>
      <c r="E5" s="30" t="s">
        <v>10</v>
      </c>
      <c r="F5" s="30" t="s">
        <v>14</v>
      </c>
      <c r="G5" s="31">
        <v>3500</v>
      </c>
      <c r="I5" s="30">
        <v>2</v>
      </c>
      <c r="J5" s="28" t="s">
        <v>210</v>
      </c>
      <c r="K5" s="40" t="s">
        <v>177</v>
      </c>
      <c r="L5" s="40">
        <v>40</v>
      </c>
      <c r="M5" s="40" t="s">
        <v>10</v>
      </c>
      <c r="N5" s="40" t="s">
        <v>59</v>
      </c>
      <c r="O5" s="48">
        <v>3500</v>
      </c>
    </row>
    <row r="6" spans="1:15" ht="15.6" x14ac:dyDescent="0.3">
      <c r="A6" s="30">
        <v>3</v>
      </c>
      <c r="B6" s="29">
        <v>46209</v>
      </c>
      <c r="C6" s="19" t="s">
        <v>144</v>
      </c>
      <c r="D6" s="30">
        <v>40</v>
      </c>
      <c r="E6" s="30" t="s">
        <v>10</v>
      </c>
      <c r="F6" s="30" t="s">
        <v>39</v>
      </c>
      <c r="G6" s="31">
        <v>3500</v>
      </c>
      <c r="I6" s="30">
        <v>3</v>
      </c>
      <c r="J6" s="28" t="s">
        <v>240</v>
      </c>
      <c r="K6" s="40" t="s">
        <v>179</v>
      </c>
      <c r="L6" s="40">
        <v>40</v>
      </c>
      <c r="M6" s="40" t="s">
        <v>10</v>
      </c>
      <c r="N6" s="40" t="s">
        <v>59</v>
      </c>
      <c r="O6" s="48">
        <v>3500</v>
      </c>
    </row>
    <row r="7" spans="1:15" ht="15.6" x14ac:dyDescent="0.3">
      <c r="A7" s="30">
        <v>4</v>
      </c>
      <c r="B7" s="29">
        <v>46271</v>
      </c>
      <c r="C7" s="19" t="s">
        <v>147</v>
      </c>
      <c r="D7" s="30">
        <v>40</v>
      </c>
      <c r="E7" s="30" t="s">
        <v>10</v>
      </c>
      <c r="F7" s="30" t="s">
        <v>161</v>
      </c>
      <c r="G7" s="31">
        <v>3500</v>
      </c>
      <c r="I7" s="30">
        <v>4</v>
      </c>
      <c r="J7" s="28" t="s">
        <v>241</v>
      </c>
      <c r="K7" s="40" t="s">
        <v>199</v>
      </c>
      <c r="L7" s="40">
        <v>40</v>
      </c>
      <c r="M7" s="40" t="s">
        <v>10</v>
      </c>
      <c r="N7" s="40" t="s">
        <v>39</v>
      </c>
      <c r="O7" s="48">
        <v>3500</v>
      </c>
    </row>
    <row r="8" spans="1:15" ht="15.6" x14ac:dyDescent="0.3">
      <c r="A8" s="30">
        <v>5</v>
      </c>
      <c r="B8" s="29">
        <v>46301</v>
      </c>
      <c r="C8" s="19" t="s">
        <v>150</v>
      </c>
      <c r="D8" s="30">
        <v>40</v>
      </c>
      <c r="E8" s="30" t="s">
        <v>10</v>
      </c>
      <c r="F8" s="30" t="s">
        <v>161</v>
      </c>
      <c r="G8" s="31">
        <v>3500</v>
      </c>
      <c r="I8" s="30">
        <v>5</v>
      </c>
      <c r="J8" s="28" t="s">
        <v>241</v>
      </c>
      <c r="K8" s="40" t="s">
        <v>184</v>
      </c>
      <c r="L8" s="40">
        <v>40</v>
      </c>
      <c r="M8" s="40" t="s">
        <v>10</v>
      </c>
      <c r="N8" s="40" t="s">
        <v>14</v>
      </c>
      <c r="O8" s="48">
        <v>3500</v>
      </c>
    </row>
    <row r="9" spans="1:15" ht="15.6" x14ac:dyDescent="0.3">
      <c r="A9" s="30">
        <v>6</v>
      </c>
      <c r="B9" s="29">
        <v>46332</v>
      </c>
      <c r="C9" s="19" t="s">
        <v>152</v>
      </c>
      <c r="D9" s="30">
        <v>40</v>
      </c>
      <c r="E9" s="30" t="s">
        <v>10</v>
      </c>
      <c r="F9" s="30" t="s">
        <v>39</v>
      </c>
      <c r="G9" s="31">
        <v>3500</v>
      </c>
      <c r="I9" s="30"/>
      <c r="J9" s="30"/>
      <c r="K9" s="30"/>
      <c r="L9" s="30"/>
      <c r="M9" s="30"/>
      <c r="N9" s="30"/>
      <c r="O9" s="50">
        <f>SUM(O4:O8)</f>
        <v>17500</v>
      </c>
    </row>
    <row r="10" spans="1:15" ht="15.6" x14ac:dyDescent="0.3">
      <c r="A10" s="30">
        <v>7</v>
      </c>
      <c r="B10" s="29">
        <v>46332</v>
      </c>
      <c r="C10" s="19" t="s">
        <v>137</v>
      </c>
      <c r="D10" s="30">
        <v>40</v>
      </c>
      <c r="E10" s="30" t="s">
        <v>10</v>
      </c>
      <c r="F10" s="30" t="s">
        <v>39</v>
      </c>
      <c r="G10" s="31">
        <v>3500</v>
      </c>
    </row>
    <row r="11" spans="1:15" ht="21" x14ac:dyDescent="0.4">
      <c r="A11" s="30">
        <v>8</v>
      </c>
      <c r="B11" s="29" t="s">
        <v>160</v>
      </c>
      <c r="C11" s="19" t="s">
        <v>158</v>
      </c>
      <c r="D11" s="30">
        <v>40</v>
      </c>
      <c r="E11" s="30" t="s">
        <v>10</v>
      </c>
      <c r="F11" s="30" t="s">
        <v>161</v>
      </c>
      <c r="G11" s="31">
        <v>3500</v>
      </c>
      <c r="I11" s="53" t="s">
        <v>174</v>
      </c>
      <c r="J11" s="53"/>
      <c r="K11" s="53"/>
      <c r="L11" s="53"/>
      <c r="M11" s="53"/>
      <c r="N11" s="53"/>
      <c r="O11" s="53"/>
    </row>
    <row r="12" spans="1:15" ht="15.6" x14ac:dyDescent="0.3">
      <c r="A12" s="32"/>
      <c r="B12" s="32"/>
      <c r="C12" s="32"/>
      <c r="D12" s="32"/>
      <c r="E12" s="32"/>
      <c r="F12" s="32"/>
      <c r="G12" s="33">
        <f>SUM(G4:G11)</f>
        <v>28000</v>
      </c>
      <c r="I12" s="1" t="s">
        <v>0</v>
      </c>
      <c r="J12" s="1" t="s">
        <v>1</v>
      </c>
      <c r="K12" s="1" t="s">
        <v>2</v>
      </c>
      <c r="L12" s="1" t="s">
        <v>3</v>
      </c>
      <c r="M12" s="1" t="s">
        <v>4</v>
      </c>
      <c r="N12" s="1" t="s">
        <v>5</v>
      </c>
      <c r="O12" s="1" t="s">
        <v>40</v>
      </c>
    </row>
    <row r="13" spans="1:15" ht="15.6" x14ac:dyDescent="0.3">
      <c r="I13" s="30">
        <v>1</v>
      </c>
      <c r="J13" s="28" t="s">
        <v>215</v>
      </c>
      <c r="K13" s="40" t="s">
        <v>200</v>
      </c>
      <c r="L13" s="40">
        <v>20</v>
      </c>
      <c r="M13" s="40" t="s">
        <v>10</v>
      </c>
      <c r="N13" s="40" t="s">
        <v>202</v>
      </c>
      <c r="O13" s="44">
        <v>5500</v>
      </c>
    </row>
    <row r="14" spans="1:15" ht="21" x14ac:dyDescent="0.4">
      <c r="A14" s="53" t="s">
        <v>174</v>
      </c>
      <c r="B14" s="53"/>
      <c r="C14" s="53"/>
      <c r="D14" s="53"/>
      <c r="E14" s="53"/>
      <c r="F14" s="53"/>
      <c r="G14" s="53"/>
      <c r="I14" s="30"/>
      <c r="J14" s="28"/>
      <c r="K14" s="40" t="s">
        <v>201</v>
      </c>
      <c r="L14" s="40">
        <v>20</v>
      </c>
      <c r="M14" s="40" t="s">
        <v>10</v>
      </c>
      <c r="N14" s="40" t="s">
        <v>202</v>
      </c>
      <c r="O14" s="44"/>
    </row>
    <row r="15" spans="1:15" ht="15.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40</v>
      </c>
      <c r="I15" s="30">
        <v>2</v>
      </c>
      <c r="J15" s="28" t="s">
        <v>216</v>
      </c>
      <c r="K15" s="40" t="s">
        <v>204</v>
      </c>
      <c r="L15" s="40">
        <v>20</v>
      </c>
      <c r="M15" s="40" t="s">
        <v>10</v>
      </c>
      <c r="N15" s="40" t="s">
        <v>39</v>
      </c>
      <c r="O15" s="44">
        <v>5500</v>
      </c>
    </row>
    <row r="16" spans="1:15" ht="15.6" x14ac:dyDescent="0.3">
      <c r="A16" s="30">
        <v>1</v>
      </c>
      <c r="B16" s="38">
        <v>46059</v>
      </c>
      <c r="C16" s="19" t="s">
        <v>127</v>
      </c>
      <c r="D16" s="30">
        <v>20</v>
      </c>
      <c r="E16" s="30" t="s">
        <v>10</v>
      </c>
      <c r="F16" s="30" t="s">
        <v>59</v>
      </c>
      <c r="G16" s="34">
        <v>5500</v>
      </c>
      <c r="I16" s="30"/>
      <c r="J16" s="28"/>
      <c r="K16" s="40" t="s">
        <v>186</v>
      </c>
      <c r="L16" s="40">
        <v>20</v>
      </c>
      <c r="M16" s="40" t="s">
        <v>10</v>
      </c>
      <c r="N16" s="40" t="s">
        <v>39</v>
      </c>
      <c r="O16" s="44"/>
    </row>
    <row r="17" spans="1:15" ht="15.6" x14ac:dyDescent="0.3">
      <c r="A17" s="30"/>
      <c r="B17" s="38"/>
      <c r="C17" s="19" t="s">
        <v>128</v>
      </c>
      <c r="D17" s="30">
        <v>20</v>
      </c>
      <c r="E17" s="30" t="s">
        <v>10</v>
      </c>
      <c r="F17" s="30" t="s">
        <v>59</v>
      </c>
      <c r="G17" s="34"/>
      <c r="I17" s="30">
        <v>3</v>
      </c>
      <c r="J17" s="28" t="s">
        <v>219</v>
      </c>
      <c r="K17" s="40" t="s">
        <v>207</v>
      </c>
      <c r="L17" s="40">
        <v>20</v>
      </c>
      <c r="M17" s="40" t="s">
        <v>10</v>
      </c>
      <c r="N17" s="40" t="s">
        <v>17</v>
      </c>
      <c r="O17" s="44">
        <v>5500</v>
      </c>
    </row>
    <row r="18" spans="1:15" ht="15.6" x14ac:dyDescent="0.3">
      <c r="A18" s="30">
        <v>2</v>
      </c>
      <c r="B18" s="38">
        <v>46087</v>
      </c>
      <c r="C18" s="19" t="s">
        <v>130</v>
      </c>
      <c r="D18" s="30">
        <v>20</v>
      </c>
      <c r="E18" s="30" t="s">
        <v>10</v>
      </c>
      <c r="F18" s="30" t="s">
        <v>14</v>
      </c>
      <c r="G18" s="34">
        <v>5500</v>
      </c>
      <c r="I18" s="30"/>
      <c r="J18" s="28"/>
      <c r="K18" s="40" t="s">
        <v>208</v>
      </c>
      <c r="L18" s="40">
        <v>20</v>
      </c>
      <c r="M18" s="40" t="s">
        <v>10</v>
      </c>
      <c r="N18" s="40" t="s">
        <v>17</v>
      </c>
      <c r="O18" s="44"/>
    </row>
    <row r="19" spans="1:15" ht="15.6" x14ac:dyDescent="0.3">
      <c r="A19" s="30"/>
      <c r="B19" s="38"/>
      <c r="C19" s="19" t="s">
        <v>131</v>
      </c>
      <c r="D19" s="30">
        <v>20</v>
      </c>
      <c r="E19" s="30" t="s">
        <v>10</v>
      </c>
      <c r="F19" s="30" t="s">
        <v>14</v>
      </c>
      <c r="G19" s="34"/>
      <c r="I19" s="16"/>
      <c r="J19" s="16"/>
      <c r="K19" s="16"/>
      <c r="L19" s="19"/>
      <c r="M19" s="16"/>
      <c r="N19" s="16"/>
      <c r="O19" s="45">
        <f>SUM(O13:O18)</f>
        <v>16500</v>
      </c>
    </row>
    <row r="20" spans="1:15" ht="15.6" x14ac:dyDescent="0.3">
      <c r="A20" s="30">
        <v>3</v>
      </c>
      <c r="B20" s="38">
        <v>46118</v>
      </c>
      <c r="C20" s="19" t="s">
        <v>133</v>
      </c>
      <c r="D20" s="30">
        <v>20</v>
      </c>
      <c r="E20" s="30" t="s">
        <v>10</v>
      </c>
      <c r="F20" s="30" t="s">
        <v>161</v>
      </c>
      <c r="G20" s="34">
        <v>5500</v>
      </c>
    </row>
    <row r="21" spans="1:15" ht="21" x14ac:dyDescent="0.3">
      <c r="A21" s="30"/>
      <c r="B21" s="38"/>
      <c r="C21" s="19" t="s">
        <v>134</v>
      </c>
      <c r="D21" s="30">
        <v>20</v>
      </c>
      <c r="E21" s="30" t="s">
        <v>10</v>
      </c>
      <c r="F21" s="30" t="s">
        <v>161</v>
      </c>
      <c r="G21" s="34"/>
      <c r="I21" s="54" t="s">
        <v>173</v>
      </c>
      <c r="J21" s="54"/>
      <c r="K21" s="54"/>
      <c r="L21" s="54"/>
      <c r="M21" s="54"/>
      <c r="N21" s="54"/>
      <c r="O21" s="54"/>
    </row>
    <row r="22" spans="1:15" ht="15.6" x14ac:dyDescent="0.3">
      <c r="A22" s="30">
        <v>4</v>
      </c>
      <c r="B22" s="38">
        <v>46148</v>
      </c>
      <c r="C22" s="19" t="s">
        <v>136</v>
      </c>
      <c r="D22" s="30">
        <v>20</v>
      </c>
      <c r="E22" s="30" t="s">
        <v>10</v>
      </c>
      <c r="F22" s="30" t="s">
        <v>161</v>
      </c>
      <c r="G22" s="34">
        <v>5500</v>
      </c>
      <c r="I22" s="1" t="s">
        <v>0</v>
      </c>
      <c r="J22" s="1" t="s">
        <v>1</v>
      </c>
      <c r="K22" s="1" t="s">
        <v>2</v>
      </c>
      <c r="L22" s="1" t="s">
        <v>3</v>
      </c>
      <c r="M22" s="1" t="s">
        <v>4</v>
      </c>
      <c r="N22" s="1" t="s">
        <v>5</v>
      </c>
      <c r="O22" s="1" t="s">
        <v>40</v>
      </c>
    </row>
    <row r="23" spans="1:15" ht="15.6" x14ac:dyDescent="0.3">
      <c r="A23" s="30"/>
      <c r="B23" s="38"/>
      <c r="C23" s="19" t="s">
        <v>138</v>
      </c>
      <c r="D23" s="30">
        <v>20</v>
      </c>
      <c r="E23" s="30" t="s">
        <v>10</v>
      </c>
      <c r="F23" s="30" t="s">
        <v>161</v>
      </c>
      <c r="G23" s="34"/>
      <c r="I23" s="30">
        <v>1</v>
      </c>
      <c r="J23" s="30" t="s">
        <v>214</v>
      </c>
      <c r="K23" s="40" t="s">
        <v>181</v>
      </c>
      <c r="L23" s="40">
        <v>40</v>
      </c>
      <c r="M23" s="40" t="s">
        <v>21</v>
      </c>
      <c r="N23" s="40" t="s">
        <v>17</v>
      </c>
      <c r="O23" s="47">
        <v>2700</v>
      </c>
    </row>
    <row r="24" spans="1:15" ht="15.6" x14ac:dyDescent="0.3">
      <c r="A24" s="30">
        <v>5</v>
      </c>
      <c r="B24" s="39">
        <v>46179</v>
      </c>
      <c r="C24" s="19" t="s">
        <v>141</v>
      </c>
      <c r="D24" s="30">
        <v>20</v>
      </c>
      <c r="E24" s="30" t="s">
        <v>10</v>
      </c>
      <c r="F24" s="30" t="s">
        <v>59</v>
      </c>
      <c r="G24" s="34">
        <v>5500</v>
      </c>
      <c r="I24" s="30"/>
      <c r="J24" s="28"/>
      <c r="K24" s="30"/>
      <c r="L24" s="30"/>
      <c r="M24" s="30"/>
      <c r="N24" s="30"/>
      <c r="O24" s="50">
        <f>SUM(O23:O23)</f>
        <v>2700</v>
      </c>
    </row>
    <row r="25" spans="1:15" ht="15.6" x14ac:dyDescent="0.3">
      <c r="A25" s="30"/>
      <c r="B25" s="39"/>
      <c r="C25" s="19" t="s">
        <v>142</v>
      </c>
      <c r="D25" s="30">
        <v>20</v>
      </c>
      <c r="E25" s="30" t="s">
        <v>10</v>
      </c>
      <c r="F25" s="30" t="s">
        <v>59</v>
      </c>
      <c r="G25" s="34"/>
    </row>
    <row r="26" spans="1:15" ht="21" x14ac:dyDescent="0.4">
      <c r="A26" s="30">
        <v>6</v>
      </c>
      <c r="B26" s="39">
        <v>46240</v>
      </c>
      <c r="C26" s="19" t="s">
        <v>159</v>
      </c>
      <c r="D26" s="30">
        <v>20</v>
      </c>
      <c r="E26" s="30" t="s">
        <v>10</v>
      </c>
      <c r="F26" s="30" t="s">
        <v>17</v>
      </c>
      <c r="G26" s="34">
        <v>5500</v>
      </c>
      <c r="I26" s="53" t="s">
        <v>172</v>
      </c>
      <c r="J26" s="53"/>
      <c r="K26" s="53"/>
      <c r="L26" s="53"/>
      <c r="M26" s="53"/>
      <c r="N26" s="53"/>
      <c r="O26" s="53"/>
    </row>
    <row r="27" spans="1:15" ht="15.6" x14ac:dyDescent="0.3">
      <c r="A27" s="30"/>
      <c r="B27" s="39"/>
      <c r="C27" s="19" t="s">
        <v>146</v>
      </c>
      <c r="D27" s="30">
        <v>20</v>
      </c>
      <c r="E27" s="30" t="s">
        <v>10</v>
      </c>
      <c r="F27" s="30" t="s">
        <v>17</v>
      </c>
      <c r="G27" s="34"/>
      <c r="I27" s="46" t="s">
        <v>0</v>
      </c>
      <c r="J27" s="46" t="s">
        <v>1</v>
      </c>
      <c r="K27" s="46" t="s">
        <v>2</v>
      </c>
      <c r="L27" s="46" t="s">
        <v>3</v>
      </c>
      <c r="M27" s="46" t="s">
        <v>4</v>
      </c>
      <c r="N27" s="46" t="s">
        <v>5</v>
      </c>
      <c r="O27" s="46" t="s">
        <v>40</v>
      </c>
    </row>
    <row r="28" spans="1:15" ht="15.6" x14ac:dyDescent="0.3">
      <c r="A28" s="30">
        <v>7</v>
      </c>
      <c r="B28" s="39">
        <v>46362</v>
      </c>
      <c r="C28" s="19" t="s">
        <v>155</v>
      </c>
      <c r="D28" s="30">
        <v>20</v>
      </c>
      <c r="E28" s="30" t="s">
        <v>10</v>
      </c>
      <c r="F28" s="30" t="s">
        <v>161</v>
      </c>
      <c r="G28" s="34">
        <v>5500</v>
      </c>
      <c r="I28" s="30">
        <v>1</v>
      </c>
      <c r="J28" s="51" t="s">
        <v>211</v>
      </c>
      <c r="K28" s="40" t="s">
        <v>195</v>
      </c>
      <c r="L28" s="40">
        <v>20</v>
      </c>
      <c r="M28" s="40" t="s">
        <v>21</v>
      </c>
      <c r="N28" s="40" t="s">
        <v>17</v>
      </c>
      <c r="O28" s="44">
        <v>4400</v>
      </c>
    </row>
    <row r="29" spans="1:15" ht="15.6" x14ac:dyDescent="0.3">
      <c r="A29" s="30"/>
      <c r="C29" s="19" t="s">
        <v>156</v>
      </c>
      <c r="D29" s="30">
        <v>20</v>
      </c>
      <c r="E29" s="30" t="s">
        <v>10</v>
      </c>
      <c r="F29" s="30" t="s">
        <v>161</v>
      </c>
      <c r="G29" s="34"/>
      <c r="I29" s="30"/>
      <c r="J29" s="51"/>
      <c r="K29" s="40" t="s">
        <v>196</v>
      </c>
      <c r="L29" s="40">
        <v>20</v>
      </c>
      <c r="M29" s="40" t="s">
        <v>21</v>
      </c>
      <c r="N29" s="40" t="s">
        <v>17</v>
      </c>
      <c r="O29" s="44"/>
    </row>
    <row r="30" spans="1:15" ht="15.6" x14ac:dyDescent="0.3">
      <c r="A30" s="10"/>
      <c r="B30" s="10"/>
      <c r="C30" s="10"/>
      <c r="D30" s="19"/>
      <c r="E30" s="10"/>
      <c r="F30" s="10"/>
      <c r="G30" s="37">
        <f>SUM(G16:G29)</f>
        <v>38500</v>
      </c>
      <c r="I30" s="30">
        <v>2</v>
      </c>
      <c r="J30" s="51" t="s">
        <v>213</v>
      </c>
      <c r="K30" s="40" t="s">
        <v>197</v>
      </c>
      <c r="L30" s="40">
        <v>20</v>
      </c>
      <c r="M30" s="40" t="s">
        <v>21</v>
      </c>
      <c r="N30" s="40" t="s">
        <v>212</v>
      </c>
      <c r="O30" s="44">
        <v>4400</v>
      </c>
    </row>
    <row r="31" spans="1:15" ht="15.6" x14ac:dyDescent="0.3">
      <c r="I31" s="30"/>
      <c r="J31" s="51"/>
      <c r="K31" s="40" t="s">
        <v>180</v>
      </c>
      <c r="L31" s="40">
        <v>20</v>
      </c>
      <c r="M31" s="40" t="s">
        <v>21</v>
      </c>
      <c r="N31" s="40" t="s">
        <v>212</v>
      </c>
      <c r="O31" s="44"/>
    </row>
    <row r="32" spans="1:15" ht="21" x14ac:dyDescent="0.3">
      <c r="A32" s="54" t="s">
        <v>173</v>
      </c>
      <c r="B32" s="54"/>
      <c r="C32" s="54"/>
      <c r="D32" s="54"/>
      <c r="E32" s="54"/>
      <c r="F32" s="54"/>
      <c r="G32" s="54"/>
      <c r="I32" s="30">
        <v>3</v>
      </c>
      <c r="J32" s="51" t="s">
        <v>217</v>
      </c>
      <c r="K32" s="40" t="s">
        <v>188</v>
      </c>
      <c r="L32" s="40">
        <v>20</v>
      </c>
      <c r="M32" s="40" t="s">
        <v>21</v>
      </c>
      <c r="N32" s="40" t="s">
        <v>39</v>
      </c>
      <c r="O32" s="44">
        <v>4400</v>
      </c>
    </row>
    <row r="33" spans="1:15" ht="15.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40</v>
      </c>
      <c r="I33" s="30"/>
      <c r="J33" s="51"/>
      <c r="K33" s="40" t="s">
        <v>189</v>
      </c>
      <c r="L33" s="40">
        <v>20</v>
      </c>
      <c r="M33" s="40" t="s">
        <v>21</v>
      </c>
      <c r="N33" s="40" t="s">
        <v>39</v>
      </c>
      <c r="O33" s="44"/>
    </row>
    <row r="34" spans="1:15" ht="15.6" x14ac:dyDescent="0.3">
      <c r="A34" s="30">
        <v>1</v>
      </c>
      <c r="B34" s="28" t="s">
        <v>171</v>
      </c>
      <c r="C34" s="36" t="s">
        <v>167</v>
      </c>
      <c r="D34" s="30">
        <v>40</v>
      </c>
      <c r="E34" s="30" t="s">
        <v>21</v>
      </c>
      <c r="F34" s="30" t="s">
        <v>39</v>
      </c>
      <c r="G34" s="31">
        <v>2700</v>
      </c>
      <c r="I34" s="30">
        <v>4</v>
      </c>
      <c r="J34" s="51" t="s">
        <v>218</v>
      </c>
      <c r="K34" s="40" t="s">
        <v>191</v>
      </c>
      <c r="L34" s="40">
        <v>20</v>
      </c>
      <c r="M34" s="40" t="s">
        <v>21</v>
      </c>
      <c r="N34" s="40" t="s">
        <v>17</v>
      </c>
      <c r="O34" s="44">
        <v>4400</v>
      </c>
    </row>
    <row r="35" spans="1:15" ht="15.6" x14ac:dyDescent="0.3">
      <c r="A35" s="30"/>
      <c r="B35" s="28"/>
      <c r="C35" s="30"/>
      <c r="D35" s="30"/>
      <c r="E35" s="30"/>
      <c r="F35" s="30"/>
      <c r="G35" s="33">
        <f>SUM(G34:G34)</f>
        <v>2700</v>
      </c>
      <c r="I35" s="30"/>
      <c r="J35" s="51"/>
      <c r="K35" s="40" t="s">
        <v>192</v>
      </c>
      <c r="L35" s="40">
        <v>20</v>
      </c>
      <c r="M35" s="40" t="s">
        <v>21</v>
      </c>
      <c r="N35" s="40" t="s">
        <v>17</v>
      </c>
      <c r="O35" s="44"/>
    </row>
    <row r="36" spans="1:15" ht="15.6" x14ac:dyDescent="0.3">
      <c r="I36" s="30">
        <v>5</v>
      </c>
      <c r="J36" s="51" t="s">
        <v>218</v>
      </c>
      <c r="K36" s="40" t="s">
        <v>205</v>
      </c>
      <c r="L36" s="40">
        <v>20</v>
      </c>
      <c r="M36" s="40" t="s">
        <v>21</v>
      </c>
      <c r="N36" s="40" t="s">
        <v>17</v>
      </c>
      <c r="O36" s="44">
        <v>4400</v>
      </c>
    </row>
    <row r="37" spans="1:15" ht="21" x14ac:dyDescent="0.4">
      <c r="A37" s="53" t="s">
        <v>172</v>
      </c>
      <c r="B37" s="53"/>
      <c r="C37" s="53"/>
      <c r="D37" s="53"/>
      <c r="E37" s="53"/>
      <c r="F37" s="53"/>
      <c r="G37" s="53"/>
      <c r="I37" s="30"/>
      <c r="J37" s="51"/>
      <c r="K37" s="40" t="s">
        <v>206</v>
      </c>
      <c r="L37" s="40">
        <v>20</v>
      </c>
      <c r="M37" s="40" t="s">
        <v>21</v>
      </c>
      <c r="N37" s="40" t="s">
        <v>17</v>
      </c>
      <c r="O37" s="44"/>
    </row>
    <row r="38" spans="1:15" ht="15.6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40</v>
      </c>
      <c r="I38" s="30">
        <v>6</v>
      </c>
      <c r="J38" s="51" t="s">
        <v>219</v>
      </c>
      <c r="K38" s="40" t="s">
        <v>221</v>
      </c>
      <c r="L38" s="40">
        <v>20</v>
      </c>
      <c r="M38" s="42" t="s">
        <v>21</v>
      </c>
      <c r="N38" s="40" t="s">
        <v>14</v>
      </c>
      <c r="O38" s="44">
        <v>4400</v>
      </c>
    </row>
    <row r="39" spans="1:15" ht="15.6" x14ac:dyDescent="0.3">
      <c r="A39" s="30">
        <v>1</v>
      </c>
      <c r="B39" s="28" t="s">
        <v>162</v>
      </c>
      <c r="C39" s="19" t="s">
        <v>163</v>
      </c>
      <c r="D39" s="30">
        <v>20</v>
      </c>
      <c r="E39" s="30" t="s">
        <v>21</v>
      </c>
      <c r="F39" s="30" t="s">
        <v>39</v>
      </c>
      <c r="G39" s="34">
        <v>4400</v>
      </c>
      <c r="I39" s="30"/>
      <c r="J39" s="51"/>
      <c r="K39" s="40" t="s">
        <v>225</v>
      </c>
      <c r="L39" s="40">
        <v>20</v>
      </c>
      <c r="M39" s="42" t="s">
        <v>21</v>
      </c>
      <c r="N39" s="40" t="s">
        <v>14</v>
      </c>
      <c r="O39" s="44"/>
    </row>
    <row r="40" spans="1:15" ht="15.6" x14ac:dyDescent="0.3">
      <c r="A40" s="30"/>
      <c r="B40" s="28"/>
      <c r="C40" s="19" t="s">
        <v>164</v>
      </c>
      <c r="D40" s="30">
        <v>20</v>
      </c>
      <c r="E40" s="30" t="s">
        <v>21</v>
      </c>
      <c r="F40" s="30" t="s">
        <v>39</v>
      </c>
      <c r="G40" s="34"/>
      <c r="I40" s="30">
        <v>7</v>
      </c>
      <c r="J40" s="51" t="s">
        <v>233</v>
      </c>
      <c r="K40" s="40" t="s">
        <v>227</v>
      </c>
      <c r="L40" s="40">
        <v>20</v>
      </c>
      <c r="M40" s="40" t="s">
        <v>21</v>
      </c>
      <c r="N40" s="40" t="s">
        <v>14</v>
      </c>
      <c r="O40" s="44">
        <v>4400</v>
      </c>
    </row>
    <row r="41" spans="1:15" ht="15.6" x14ac:dyDescent="0.3">
      <c r="A41" s="10"/>
      <c r="B41" s="10"/>
      <c r="C41" s="10"/>
      <c r="D41" s="10"/>
      <c r="E41" s="10"/>
      <c r="F41" s="10"/>
      <c r="G41" s="37">
        <f>SUM(G39:G40)</f>
        <v>4400</v>
      </c>
      <c r="I41" s="30"/>
      <c r="J41" s="51"/>
      <c r="K41" s="40" t="s">
        <v>228</v>
      </c>
      <c r="L41" s="40">
        <v>20</v>
      </c>
      <c r="M41" s="40" t="s">
        <v>21</v>
      </c>
      <c r="N41" s="40" t="s">
        <v>14</v>
      </c>
      <c r="O41" s="44"/>
    </row>
    <row r="42" spans="1:15" ht="15.6" x14ac:dyDescent="0.3">
      <c r="I42" s="30">
        <v>8</v>
      </c>
      <c r="J42" s="51" t="s">
        <v>234</v>
      </c>
      <c r="K42" s="40" t="s">
        <v>230</v>
      </c>
      <c r="L42" s="40">
        <v>20</v>
      </c>
      <c r="M42" s="40" t="s">
        <v>21</v>
      </c>
      <c r="N42" s="40" t="s">
        <v>17</v>
      </c>
      <c r="O42" s="44">
        <v>4400</v>
      </c>
    </row>
    <row r="43" spans="1:15" ht="21" x14ac:dyDescent="0.4">
      <c r="A43" s="53" t="s">
        <v>170</v>
      </c>
      <c r="B43" s="53"/>
      <c r="C43" s="53"/>
      <c r="D43" s="53"/>
      <c r="E43" s="53"/>
      <c r="F43" s="53"/>
      <c r="G43" s="53"/>
      <c r="I43" s="30"/>
      <c r="J43" s="51"/>
      <c r="K43" s="42" t="s">
        <v>222</v>
      </c>
      <c r="L43" s="40">
        <v>20</v>
      </c>
      <c r="M43" s="40" t="s">
        <v>21</v>
      </c>
      <c r="N43" s="40" t="s">
        <v>17</v>
      </c>
      <c r="O43" s="44"/>
    </row>
    <row r="44" spans="1:15" ht="15.6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40</v>
      </c>
      <c r="I44" s="30">
        <v>9</v>
      </c>
      <c r="J44" s="51" t="s">
        <v>234</v>
      </c>
      <c r="K44" s="42" t="s">
        <v>232</v>
      </c>
      <c r="L44" s="40">
        <v>20</v>
      </c>
      <c r="M44" s="40" t="s">
        <v>21</v>
      </c>
      <c r="N44" s="40" t="s">
        <v>17</v>
      </c>
      <c r="O44" s="44">
        <v>4400</v>
      </c>
    </row>
    <row r="45" spans="1:15" ht="15.6" x14ac:dyDescent="0.3">
      <c r="A45" s="30">
        <v>1</v>
      </c>
      <c r="B45" s="28">
        <v>46028</v>
      </c>
      <c r="C45" s="19" t="s">
        <v>126</v>
      </c>
      <c r="D45" s="30">
        <v>40</v>
      </c>
      <c r="E45" s="30" t="s">
        <v>39</v>
      </c>
      <c r="F45" s="30" t="s">
        <v>10</v>
      </c>
      <c r="G45" s="34">
        <v>3500</v>
      </c>
      <c r="I45" s="30"/>
      <c r="J45" s="51"/>
      <c r="K45" s="40" t="s">
        <v>223</v>
      </c>
      <c r="L45" s="40">
        <v>20</v>
      </c>
      <c r="M45" s="40" t="s">
        <v>21</v>
      </c>
      <c r="N45" s="40" t="s">
        <v>17</v>
      </c>
      <c r="O45" s="44"/>
    </row>
    <row r="46" spans="1:15" ht="15.6" x14ac:dyDescent="0.3">
      <c r="A46" s="30">
        <v>2</v>
      </c>
      <c r="B46" s="28">
        <v>46059</v>
      </c>
      <c r="C46" s="19" t="s">
        <v>129</v>
      </c>
      <c r="D46" s="30">
        <v>40</v>
      </c>
      <c r="E46" s="30" t="s">
        <v>59</v>
      </c>
      <c r="F46" s="30" t="s">
        <v>10</v>
      </c>
      <c r="G46" s="34">
        <v>3500</v>
      </c>
      <c r="I46" s="30">
        <v>10</v>
      </c>
      <c r="J46" s="51" t="s">
        <v>235</v>
      </c>
      <c r="K46" s="40" t="s">
        <v>236</v>
      </c>
      <c r="L46" s="40">
        <v>20</v>
      </c>
      <c r="M46" s="40" t="s">
        <v>21</v>
      </c>
      <c r="N46" s="40" t="s">
        <v>14</v>
      </c>
      <c r="O46" s="44">
        <v>4400</v>
      </c>
    </row>
    <row r="47" spans="1:15" ht="15.6" x14ac:dyDescent="0.3">
      <c r="A47" s="30">
        <v>3</v>
      </c>
      <c r="B47" s="28">
        <v>46087</v>
      </c>
      <c r="C47" s="19" t="s">
        <v>132</v>
      </c>
      <c r="D47" s="30">
        <v>40</v>
      </c>
      <c r="E47" s="30" t="s">
        <v>14</v>
      </c>
      <c r="F47" s="30" t="s">
        <v>10</v>
      </c>
      <c r="G47" s="34">
        <v>3500</v>
      </c>
      <c r="I47" s="30"/>
      <c r="J47" s="51"/>
      <c r="K47" s="40" t="s">
        <v>237</v>
      </c>
      <c r="L47" s="40">
        <v>20</v>
      </c>
      <c r="M47" s="40" t="s">
        <v>21</v>
      </c>
      <c r="N47" s="40" t="s">
        <v>14</v>
      </c>
      <c r="O47" s="44"/>
    </row>
    <row r="48" spans="1:15" ht="15.6" x14ac:dyDescent="0.3">
      <c r="A48" s="30">
        <v>4</v>
      </c>
      <c r="B48" s="28">
        <v>46118</v>
      </c>
      <c r="C48" s="36" t="s">
        <v>135</v>
      </c>
      <c r="D48" s="30">
        <v>40</v>
      </c>
      <c r="E48" s="30" t="s">
        <v>161</v>
      </c>
      <c r="F48" s="30" t="s">
        <v>10</v>
      </c>
      <c r="G48" s="34">
        <v>3500</v>
      </c>
      <c r="I48" s="43"/>
      <c r="J48" s="42"/>
      <c r="K48" s="42"/>
      <c r="L48" s="42"/>
      <c r="M48" s="42"/>
      <c r="N48" s="42"/>
      <c r="O48" s="45">
        <f>SUM(O28:O47)</f>
        <v>44000</v>
      </c>
    </row>
    <row r="49" spans="1:15" ht="15.6" x14ac:dyDescent="0.3">
      <c r="A49" s="30">
        <v>5</v>
      </c>
      <c r="B49" s="35">
        <v>46148</v>
      </c>
      <c r="C49" s="19" t="s">
        <v>137</v>
      </c>
      <c r="D49" s="30">
        <v>40</v>
      </c>
      <c r="E49" s="30" t="s">
        <v>161</v>
      </c>
      <c r="F49" s="30" t="s">
        <v>10</v>
      </c>
      <c r="G49" s="34">
        <v>3500</v>
      </c>
    </row>
    <row r="50" spans="1:15" ht="21" x14ac:dyDescent="0.4">
      <c r="A50" s="30">
        <v>6</v>
      </c>
      <c r="B50" s="29">
        <v>46179</v>
      </c>
      <c r="C50" s="19" t="s">
        <v>140</v>
      </c>
      <c r="D50" s="30">
        <v>40</v>
      </c>
      <c r="E50" s="30" t="s">
        <v>14</v>
      </c>
      <c r="F50" s="30" t="s">
        <v>10</v>
      </c>
      <c r="G50" s="34">
        <v>3500</v>
      </c>
      <c r="I50" s="53" t="s">
        <v>170</v>
      </c>
      <c r="J50" s="53"/>
      <c r="K50" s="53"/>
      <c r="L50" s="53"/>
      <c r="M50" s="53"/>
      <c r="N50" s="53"/>
      <c r="O50" s="53"/>
    </row>
    <row r="51" spans="1:15" ht="15.6" x14ac:dyDescent="0.3">
      <c r="A51" s="30">
        <v>7</v>
      </c>
      <c r="B51" s="29">
        <v>46209</v>
      </c>
      <c r="C51" s="19" t="s">
        <v>143</v>
      </c>
      <c r="D51" s="30">
        <v>40</v>
      </c>
      <c r="E51" s="30" t="s">
        <v>59</v>
      </c>
      <c r="F51" s="30" t="s">
        <v>10</v>
      </c>
      <c r="G51" s="34">
        <v>3500</v>
      </c>
      <c r="I51" s="1" t="s">
        <v>0</v>
      </c>
      <c r="J51" s="1" t="s">
        <v>1</v>
      </c>
      <c r="K51" s="1" t="s">
        <v>2</v>
      </c>
      <c r="L51" s="1" t="s">
        <v>3</v>
      </c>
      <c r="M51" s="1" t="s">
        <v>4</v>
      </c>
      <c r="N51" s="1" t="s">
        <v>5</v>
      </c>
      <c r="O51" s="1" t="s">
        <v>40</v>
      </c>
    </row>
    <row r="52" spans="1:15" ht="15.6" x14ac:dyDescent="0.3">
      <c r="A52" s="30">
        <v>8</v>
      </c>
      <c r="B52" s="29">
        <v>46240</v>
      </c>
      <c r="C52" s="19" t="s">
        <v>145</v>
      </c>
      <c r="D52" s="30">
        <v>40</v>
      </c>
      <c r="E52" s="30" t="s">
        <v>39</v>
      </c>
      <c r="F52" s="30" t="s">
        <v>10</v>
      </c>
      <c r="G52" s="34">
        <v>3500</v>
      </c>
      <c r="I52" s="30">
        <v>1</v>
      </c>
      <c r="J52" s="28" t="s">
        <v>211</v>
      </c>
      <c r="K52" s="40" t="s">
        <v>175</v>
      </c>
      <c r="L52" s="40">
        <v>40</v>
      </c>
      <c r="M52" s="40" t="s">
        <v>17</v>
      </c>
      <c r="N52" s="40" t="s">
        <v>10</v>
      </c>
      <c r="O52" s="44">
        <v>3500</v>
      </c>
    </row>
    <row r="53" spans="1:15" ht="15.6" x14ac:dyDescent="0.3">
      <c r="A53" s="30">
        <v>9</v>
      </c>
      <c r="B53" s="29">
        <v>46271</v>
      </c>
      <c r="C53" s="19" t="s">
        <v>148</v>
      </c>
      <c r="D53" s="30">
        <v>40</v>
      </c>
      <c r="E53" s="30" t="s">
        <v>17</v>
      </c>
      <c r="F53" s="30" t="s">
        <v>10</v>
      </c>
      <c r="G53" s="34">
        <v>3500</v>
      </c>
      <c r="I53" s="30">
        <v>2</v>
      </c>
      <c r="J53" s="28" t="s">
        <v>210</v>
      </c>
      <c r="K53" s="40" t="s">
        <v>176</v>
      </c>
      <c r="L53" s="40">
        <v>40</v>
      </c>
      <c r="M53" s="40" t="s">
        <v>14</v>
      </c>
      <c r="N53" s="40" t="s">
        <v>10</v>
      </c>
      <c r="O53" s="44">
        <v>3500</v>
      </c>
    </row>
    <row r="54" spans="1:15" ht="15.6" x14ac:dyDescent="0.3">
      <c r="A54" s="30">
        <v>10</v>
      </c>
      <c r="B54" s="29">
        <v>46271</v>
      </c>
      <c r="C54" s="19" t="s">
        <v>149</v>
      </c>
      <c r="D54" s="30">
        <v>40</v>
      </c>
      <c r="E54" s="30" t="s">
        <v>161</v>
      </c>
      <c r="F54" s="30" t="s">
        <v>10</v>
      </c>
      <c r="G54" s="34">
        <v>3500</v>
      </c>
      <c r="I54" s="30">
        <v>3</v>
      </c>
      <c r="J54" s="28" t="s">
        <v>240</v>
      </c>
      <c r="K54" s="40" t="s">
        <v>178</v>
      </c>
      <c r="L54" s="40">
        <v>40</v>
      </c>
      <c r="M54" s="40" t="s">
        <v>14</v>
      </c>
      <c r="N54" s="40" t="s">
        <v>10</v>
      </c>
      <c r="O54" s="44">
        <v>3500</v>
      </c>
    </row>
    <row r="55" spans="1:15" ht="15.6" x14ac:dyDescent="0.3">
      <c r="A55" s="30">
        <v>11</v>
      </c>
      <c r="B55" s="29">
        <v>46301</v>
      </c>
      <c r="C55" s="19" t="s">
        <v>151</v>
      </c>
      <c r="D55" s="30">
        <v>40</v>
      </c>
      <c r="E55" s="30" t="s">
        <v>161</v>
      </c>
      <c r="F55" s="30" t="s">
        <v>10</v>
      </c>
      <c r="G55" s="34">
        <v>3500</v>
      </c>
      <c r="I55" s="30">
        <v>4</v>
      </c>
      <c r="J55" s="28" t="s">
        <v>241</v>
      </c>
      <c r="K55" s="40" t="s">
        <v>183</v>
      </c>
      <c r="L55" s="40">
        <v>40</v>
      </c>
      <c r="M55" s="40" t="s">
        <v>14</v>
      </c>
      <c r="N55" s="40" t="s">
        <v>10</v>
      </c>
      <c r="O55" s="44">
        <v>3500</v>
      </c>
    </row>
    <row r="56" spans="1:15" ht="15.6" x14ac:dyDescent="0.3">
      <c r="A56" s="30">
        <v>12</v>
      </c>
      <c r="B56" s="29">
        <v>46332</v>
      </c>
      <c r="C56" s="19" t="s">
        <v>153</v>
      </c>
      <c r="D56" s="30">
        <v>40</v>
      </c>
      <c r="E56" s="30" t="s">
        <v>161</v>
      </c>
      <c r="F56" s="30" t="s">
        <v>10</v>
      </c>
      <c r="G56" s="34">
        <v>3500</v>
      </c>
      <c r="I56" s="30">
        <v>5</v>
      </c>
      <c r="J56" s="28" t="s">
        <v>215</v>
      </c>
      <c r="K56" s="40" t="s">
        <v>185</v>
      </c>
      <c r="L56" s="40">
        <v>40</v>
      </c>
      <c r="M56" s="40" t="s">
        <v>59</v>
      </c>
      <c r="N56" s="40" t="s">
        <v>10</v>
      </c>
      <c r="O56" s="44">
        <v>3500</v>
      </c>
    </row>
    <row r="57" spans="1:15" ht="15.6" x14ac:dyDescent="0.3">
      <c r="A57" s="30">
        <v>13</v>
      </c>
      <c r="B57" s="29">
        <v>46332</v>
      </c>
      <c r="C57" s="19" t="s">
        <v>154</v>
      </c>
      <c r="D57" s="30">
        <v>40</v>
      </c>
      <c r="E57" s="30" t="s">
        <v>39</v>
      </c>
      <c r="F57" s="30" t="s">
        <v>10</v>
      </c>
      <c r="G57" s="34">
        <v>3500</v>
      </c>
      <c r="I57" s="30">
        <v>6</v>
      </c>
      <c r="J57" s="28" t="s">
        <v>216</v>
      </c>
      <c r="K57" s="40" t="s">
        <v>203</v>
      </c>
      <c r="L57" s="40">
        <v>40</v>
      </c>
      <c r="M57" s="40" t="s">
        <v>39</v>
      </c>
      <c r="N57" s="40" t="s">
        <v>10</v>
      </c>
      <c r="O57" s="44">
        <v>3500</v>
      </c>
    </row>
    <row r="58" spans="1:15" ht="15.6" x14ac:dyDescent="0.3">
      <c r="A58" s="30">
        <v>14</v>
      </c>
      <c r="B58" s="29">
        <v>46362</v>
      </c>
      <c r="C58" s="19" t="s">
        <v>157</v>
      </c>
      <c r="D58" s="30">
        <v>40</v>
      </c>
      <c r="E58" s="30" t="s">
        <v>161</v>
      </c>
      <c r="F58" s="30" t="s">
        <v>10</v>
      </c>
      <c r="G58" s="34">
        <v>3500</v>
      </c>
      <c r="I58" s="30">
        <v>7</v>
      </c>
      <c r="J58" s="28" t="s">
        <v>218</v>
      </c>
      <c r="K58" s="40" t="s">
        <v>209</v>
      </c>
      <c r="L58" s="40">
        <v>40</v>
      </c>
      <c r="M58" s="40" t="s">
        <v>17</v>
      </c>
      <c r="N58" s="40" t="s">
        <v>10</v>
      </c>
      <c r="O58" s="44">
        <v>3500</v>
      </c>
    </row>
    <row r="59" spans="1:15" ht="15.6" x14ac:dyDescent="0.3">
      <c r="A59" s="30">
        <v>15</v>
      </c>
      <c r="B59" s="32" t="s">
        <v>160</v>
      </c>
      <c r="C59" s="19" t="s">
        <v>168</v>
      </c>
      <c r="D59" s="30">
        <v>40</v>
      </c>
      <c r="E59" s="30" t="s">
        <v>161</v>
      </c>
      <c r="F59" s="30" t="s">
        <v>10</v>
      </c>
      <c r="G59" s="34">
        <v>3500</v>
      </c>
      <c r="I59" s="16"/>
      <c r="J59" s="16"/>
      <c r="K59" s="16"/>
      <c r="L59" s="16"/>
      <c r="M59" s="16"/>
      <c r="N59" s="16"/>
      <c r="O59" s="45">
        <f>SUM(O52:O58)</f>
        <v>24500</v>
      </c>
    </row>
    <row r="60" spans="1:15" ht="15.6" x14ac:dyDescent="0.3">
      <c r="A60" s="10"/>
      <c r="B60" s="10"/>
      <c r="C60" s="10"/>
      <c r="D60" s="10"/>
      <c r="E60" s="10"/>
      <c r="F60" s="10"/>
      <c r="G60" s="37">
        <f>SUM(G45:G59)</f>
        <v>52500</v>
      </c>
    </row>
    <row r="61" spans="1:15" ht="21" x14ac:dyDescent="0.4">
      <c r="I61" s="53" t="s">
        <v>170</v>
      </c>
      <c r="J61" s="53"/>
      <c r="K61" s="53"/>
      <c r="L61" s="53"/>
      <c r="M61" s="53"/>
      <c r="N61" s="53"/>
      <c r="O61" s="53"/>
    </row>
    <row r="62" spans="1:15" ht="21" x14ac:dyDescent="0.4">
      <c r="A62" s="53" t="s">
        <v>169</v>
      </c>
      <c r="B62" s="53"/>
      <c r="C62" s="53"/>
      <c r="D62" s="53"/>
      <c r="E62" s="53"/>
      <c r="F62" s="53"/>
      <c r="G62" s="53"/>
      <c r="I62" s="1" t="s">
        <v>0</v>
      </c>
      <c r="J62" s="1" t="s">
        <v>1</v>
      </c>
      <c r="K62" s="1" t="s">
        <v>2</v>
      </c>
      <c r="L62" s="1" t="s">
        <v>3</v>
      </c>
      <c r="M62" s="1" t="s">
        <v>4</v>
      </c>
      <c r="N62" s="1" t="s">
        <v>5</v>
      </c>
      <c r="O62" s="1" t="s">
        <v>40</v>
      </c>
    </row>
    <row r="63" spans="1:15" ht="15.6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40</v>
      </c>
      <c r="I63" s="41">
        <v>1</v>
      </c>
      <c r="J63" s="41" t="s">
        <v>214</v>
      </c>
      <c r="K63" s="40" t="s">
        <v>182</v>
      </c>
      <c r="L63" s="40">
        <v>20</v>
      </c>
      <c r="M63" s="40" t="s">
        <v>59</v>
      </c>
      <c r="N63" s="40" t="s">
        <v>10</v>
      </c>
      <c r="O63" s="49">
        <v>3500</v>
      </c>
    </row>
    <row r="64" spans="1:15" ht="15.6" x14ac:dyDescent="0.3">
      <c r="A64" s="30">
        <v>1</v>
      </c>
      <c r="B64" s="28" t="s">
        <v>162</v>
      </c>
      <c r="C64" s="19" t="s">
        <v>165</v>
      </c>
      <c r="D64" s="30">
        <v>40</v>
      </c>
      <c r="E64" s="30" t="s">
        <v>14</v>
      </c>
      <c r="F64" s="30" t="s">
        <v>21</v>
      </c>
      <c r="G64" s="34">
        <v>2700</v>
      </c>
      <c r="I64" s="41">
        <v>2</v>
      </c>
      <c r="J64" s="41" t="s">
        <v>235</v>
      </c>
      <c r="K64" s="40" t="s">
        <v>238</v>
      </c>
      <c r="L64" s="40">
        <v>20</v>
      </c>
      <c r="M64" s="40" t="s">
        <v>14</v>
      </c>
      <c r="N64" s="40" t="s">
        <v>10</v>
      </c>
      <c r="O64" s="49">
        <v>3500</v>
      </c>
    </row>
    <row r="65" spans="1:15" ht="15.6" x14ac:dyDescent="0.3">
      <c r="A65" s="30">
        <v>2</v>
      </c>
      <c r="B65" s="28" t="s">
        <v>171</v>
      </c>
      <c r="C65" s="19" t="s">
        <v>166</v>
      </c>
      <c r="D65" s="30">
        <v>40</v>
      </c>
      <c r="E65" s="30" t="s">
        <v>39</v>
      </c>
      <c r="F65" s="30" t="s">
        <v>21</v>
      </c>
      <c r="G65" s="34">
        <v>2700</v>
      </c>
      <c r="I65" s="16"/>
      <c r="J65" s="16"/>
      <c r="K65" s="16"/>
      <c r="L65" s="16"/>
      <c r="M65" s="16"/>
      <c r="N65" s="16"/>
      <c r="O65" s="52">
        <f>SUM(O63:O64)</f>
        <v>7000</v>
      </c>
    </row>
    <row r="66" spans="1:15" ht="15.6" x14ac:dyDescent="0.3">
      <c r="A66" s="10"/>
      <c r="B66" s="10"/>
      <c r="C66" s="10"/>
      <c r="D66" s="10"/>
      <c r="E66" s="10"/>
      <c r="F66" s="10"/>
      <c r="G66" s="37">
        <f>SUM(G64:G65)</f>
        <v>5400</v>
      </c>
    </row>
    <row r="67" spans="1:15" ht="21" x14ac:dyDescent="0.4">
      <c r="I67" s="53" t="s">
        <v>169</v>
      </c>
      <c r="J67" s="53"/>
      <c r="K67" s="53"/>
      <c r="L67" s="53"/>
      <c r="M67" s="53"/>
      <c r="N67" s="53"/>
      <c r="O67" s="53"/>
    </row>
    <row r="68" spans="1:15" ht="15.6" x14ac:dyDescent="0.3">
      <c r="I68" s="1" t="s">
        <v>0</v>
      </c>
      <c r="J68" s="1" t="s">
        <v>1</v>
      </c>
      <c r="K68" s="1" t="s">
        <v>2</v>
      </c>
      <c r="L68" s="1" t="s">
        <v>3</v>
      </c>
      <c r="M68" s="1" t="s">
        <v>4</v>
      </c>
      <c r="N68" s="1" t="s">
        <v>5</v>
      </c>
      <c r="O68" s="1" t="s">
        <v>40</v>
      </c>
    </row>
    <row r="69" spans="1:15" ht="15.6" x14ac:dyDescent="0.3">
      <c r="I69" s="30">
        <v>1</v>
      </c>
      <c r="J69" s="28" t="s">
        <v>214</v>
      </c>
      <c r="K69" s="40" t="s">
        <v>198</v>
      </c>
      <c r="L69" s="40">
        <v>40</v>
      </c>
      <c r="M69" s="40" t="s">
        <v>59</v>
      </c>
      <c r="N69" s="40" t="s">
        <v>21</v>
      </c>
      <c r="O69" s="44">
        <v>2700</v>
      </c>
    </row>
    <row r="70" spans="1:15" ht="15.6" x14ac:dyDescent="0.3">
      <c r="I70" s="30">
        <v>2</v>
      </c>
      <c r="J70" s="41" t="s">
        <v>216</v>
      </c>
      <c r="K70" s="40" t="s">
        <v>187</v>
      </c>
      <c r="L70" s="40">
        <v>40</v>
      </c>
      <c r="M70" s="40" t="s">
        <v>39</v>
      </c>
      <c r="N70" s="40" t="s">
        <v>21</v>
      </c>
      <c r="O70" s="44">
        <v>2700</v>
      </c>
    </row>
    <row r="71" spans="1:15" ht="15.6" x14ac:dyDescent="0.3">
      <c r="I71" s="30">
        <v>3</v>
      </c>
      <c r="J71" s="41" t="s">
        <v>217</v>
      </c>
      <c r="K71" s="40" t="s">
        <v>190</v>
      </c>
      <c r="L71" s="40">
        <v>40</v>
      </c>
      <c r="M71" s="40" t="s">
        <v>14</v>
      </c>
      <c r="N71" s="40" t="s">
        <v>21</v>
      </c>
      <c r="O71" s="44">
        <v>2700</v>
      </c>
    </row>
    <row r="72" spans="1:15" ht="15.6" x14ac:dyDescent="0.3">
      <c r="I72" s="30">
        <v>4</v>
      </c>
      <c r="J72" s="41" t="s">
        <v>218</v>
      </c>
      <c r="K72" s="40" t="s">
        <v>193</v>
      </c>
      <c r="L72" s="40">
        <v>40</v>
      </c>
      <c r="M72" s="40" t="s">
        <v>17</v>
      </c>
      <c r="N72" s="40" t="s">
        <v>21</v>
      </c>
      <c r="O72" s="44">
        <v>2700</v>
      </c>
    </row>
    <row r="73" spans="1:15" ht="15.6" x14ac:dyDescent="0.3">
      <c r="I73" s="30">
        <v>5</v>
      </c>
      <c r="J73" s="41" t="s">
        <v>219</v>
      </c>
      <c r="K73" s="40" t="s">
        <v>220</v>
      </c>
      <c r="L73" s="40">
        <v>40</v>
      </c>
      <c r="M73" s="40" t="s">
        <v>39</v>
      </c>
      <c r="N73" s="40" t="s">
        <v>21</v>
      </c>
      <c r="O73" s="44">
        <v>2700</v>
      </c>
    </row>
    <row r="74" spans="1:15" ht="15.6" x14ac:dyDescent="0.3">
      <c r="I74" s="30">
        <v>6</v>
      </c>
      <c r="J74" s="41" t="s">
        <v>219</v>
      </c>
      <c r="K74" s="40" t="s">
        <v>226</v>
      </c>
      <c r="L74" s="40">
        <v>40</v>
      </c>
      <c r="M74" s="40" t="s">
        <v>14</v>
      </c>
      <c r="N74" s="40" t="s">
        <v>21</v>
      </c>
      <c r="O74" s="44">
        <v>2700</v>
      </c>
    </row>
    <row r="75" spans="1:15" ht="15.6" x14ac:dyDescent="0.3">
      <c r="I75" s="30">
        <v>7</v>
      </c>
      <c r="J75" s="41" t="s">
        <v>233</v>
      </c>
      <c r="K75" s="40" t="s">
        <v>229</v>
      </c>
      <c r="L75" s="40">
        <v>40</v>
      </c>
      <c r="M75" s="40" t="s">
        <v>14</v>
      </c>
      <c r="N75" s="40" t="s">
        <v>21</v>
      </c>
      <c r="O75" s="44">
        <v>2700</v>
      </c>
    </row>
    <row r="76" spans="1:15" ht="15.6" x14ac:dyDescent="0.3">
      <c r="I76" s="30">
        <v>8</v>
      </c>
      <c r="J76" s="41" t="s">
        <v>234</v>
      </c>
      <c r="K76" s="40" t="s">
        <v>231</v>
      </c>
      <c r="L76" s="40">
        <v>40</v>
      </c>
      <c r="M76" s="40" t="s">
        <v>17</v>
      </c>
      <c r="N76" s="40" t="s">
        <v>21</v>
      </c>
      <c r="O76" s="44">
        <v>2700</v>
      </c>
    </row>
    <row r="77" spans="1:15" ht="15.6" x14ac:dyDescent="0.3">
      <c r="I77" s="30">
        <v>9</v>
      </c>
      <c r="J77" s="28" t="s">
        <v>234</v>
      </c>
      <c r="K77" s="40" t="s">
        <v>224</v>
      </c>
      <c r="L77" s="40">
        <v>40</v>
      </c>
      <c r="M77" s="40" t="s">
        <v>17</v>
      </c>
      <c r="N77" s="40" t="s">
        <v>21</v>
      </c>
      <c r="O77" s="44">
        <v>2700</v>
      </c>
    </row>
    <row r="78" spans="1:15" ht="15.6" x14ac:dyDescent="0.3">
      <c r="I78" s="16"/>
      <c r="J78" s="16"/>
      <c r="K78" s="40"/>
      <c r="L78" s="40"/>
      <c r="M78" s="40"/>
      <c r="N78" s="40"/>
      <c r="O78" s="45">
        <f>SUM(O69:O77)</f>
        <v>24300</v>
      </c>
    </row>
  </sheetData>
  <mergeCells count="13">
    <mergeCell ref="A62:G62"/>
    <mergeCell ref="A32:G32"/>
    <mergeCell ref="A2:G2"/>
    <mergeCell ref="A14:G14"/>
    <mergeCell ref="A43:G43"/>
    <mergeCell ref="A37:G37"/>
    <mergeCell ref="I67:O67"/>
    <mergeCell ref="I2:O2"/>
    <mergeCell ref="I11:O11"/>
    <mergeCell ref="I21:O21"/>
    <mergeCell ref="I26:O26"/>
    <mergeCell ref="I61:O61"/>
    <mergeCell ref="I50:O50"/>
  </mergeCells>
  <phoneticPr fontId="8" type="noConversion"/>
  <printOptions horizontalCentered="1"/>
  <pageMargins left="0" right="0" top="0" bottom="0" header="1.39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Thakur</dc:creator>
  <cp:lastModifiedBy>Mayuresh Thakur</cp:lastModifiedBy>
  <cp:lastPrinted>2026-07-02T05:55:58Z</cp:lastPrinted>
  <dcterms:created xsi:type="dcterms:W3CDTF">2015-06-05T18:17:20Z</dcterms:created>
  <dcterms:modified xsi:type="dcterms:W3CDTF">2026-07-02T06:21:04Z</dcterms:modified>
</cp:coreProperties>
</file>